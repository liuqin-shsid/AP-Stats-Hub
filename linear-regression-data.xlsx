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littledogliu/Desktop/AP Stats 数据库/Linear Regression/"/>
    </mc:Choice>
  </mc:AlternateContent>
  <xr:revisionPtr revIDLastSave="0" documentId="13_ncr:1_{8A61DCD4-F275-4A40-A181-D907D59C7C6E}" xr6:coauthVersionLast="47" xr6:coauthVersionMax="47" xr10:uidLastSave="{00000000-0000-0000-0000-000000000000}"/>
  <bookViews>
    <workbookView xWindow="0" yWindow="660" windowWidth="29400" windowHeight="16660" activeTab="8" xr2:uid="{00000000-000D-0000-FFFF-FFFF00000000}"/>
  </bookViews>
  <sheets>
    <sheet name="1.海拔-气温" sheetId="2" r:id="rId1"/>
    <sheet name="2.冰淇淋-空调销量" sheetId="3" r:id="rId2"/>
    <sheet name="3.年龄-握力" sheetId="4" r:id="rId3"/>
    <sheet name="4.酒精浓度-反应时间" sheetId="5" r:id="rId4"/>
    <sheet name="5.身高-体重" sheetId="6" r:id="rId5"/>
    <sheet name="身高-体重分析" sheetId="10" r:id="rId6"/>
    <sheet name="6.鞋码-GPA" sheetId="7" r:id="rId7"/>
    <sheet name="7.计算机使用-学习效果" sheetId="8" r:id="rId8"/>
    <sheet name="8.学习时长-考试成绩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10" l="1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2" i="10"/>
  <c r="G53" i="10"/>
  <c r="G5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2" i="10"/>
  <c r="D53" i="10"/>
  <c r="E53" i="10"/>
  <c r="F53" i="10"/>
  <c r="D52" i="10"/>
  <c r="E52" i="10"/>
  <c r="F5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2" i="10"/>
  <c r="C53" i="10"/>
  <c r="C52" i="10"/>
  <c r="B53" i="10"/>
  <c r="B5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2" i="10"/>
</calcChain>
</file>

<file path=xl/sharedStrings.xml><?xml version="1.0" encoding="utf-8"?>
<sst xmlns="http://schemas.openxmlformats.org/spreadsheetml/2006/main" count="103" uniqueCount="23">
  <si>
    <t>海拔高度 (m)</t>
  </si>
  <si>
    <t>气温 (°C)</t>
  </si>
  <si>
    <t>冰淇淋销量 (件/周)</t>
  </si>
  <si>
    <t>空调销量 (台/周)</t>
  </si>
  <si>
    <t>年龄 (岁)</t>
  </si>
  <si>
    <t>握力 (kg)</t>
  </si>
  <si>
    <t>血液酒精浓度 (%)</t>
  </si>
  <si>
    <t>反应时间 (秒)</t>
  </si>
  <si>
    <t>身高 (cm)</t>
  </si>
  <si>
    <t>体重 (kg)</t>
  </si>
  <si>
    <t>鞋码 (码)</t>
  </si>
  <si>
    <t>平均学分绩点 (GPA)</t>
  </si>
  <si>
    <t>每周计算机使用时长 (小时)</t>
  </si>
  <si>
    <t>学习效果综合评分</t>
  </si>
  <si>
    <t>每周学习时长 (小时)</t>
  </si>
  <si>
    <t>期末考试成绩 (分)</t>
  </si>
  <si>
    <t>性别</t>
  </si>
  <si>
    <t>男</t>
  </si>
  <si>
    <t>女</t>
  </si>
  <si>
    <t>身高（in)</t>
  </si>
  <si>
    <t>体重（lb)</t>
  </si>
  <si>
    <t>zx</t>
  </si>
  <si>
    <t>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</si>
</sst>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微软雅黑"/>
      <family val="2"/>
    </font>
    <font>
      <b/>
      <sz val="11"/>
      <color rgb="FFFFFFFF"/>
      <name val="微软雅黑"/>
      <family val="2"/>
      <charset val="134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Protection="0"/>
  </cellStyleXfs>
  <cellXfs count="13">
    <xf numFmtId="0" fontId="0" fillId="0" borderId="0" xfId="0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'1.海拔-气温'!$B$1</c:f>
              <c:strCache>
                <c:ptCount val="1"/>
                <c:pt idx="0">
                  <c:v>气温 (°C)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'1.海拔-气温'!$A$2:$A$51</c:f>
              <c:numCache>
                <c:formatCode>General</c:formatCode>
                <c:ptCount val="50"/>
                <c:pt idx="0">
                  <c:v>1498.16</c:v>
                </c:pt>
                <c:pt idx="1">
                  <c:v>3802.86</c:v>
                </c:pt>
                <c:pt idx="2">
                  <c:v>2927.98</c:v>
                </c:pt>
                <c:pt idx="3">
                  <c:v>2394.63</c:v>
                </c:pt>
                <c:pt idx="4">
                  <c:v>624.07000000000005</c:v>
                </c:pt>
                <c:pt idx="5">
                  <c:v>623.98</c:v>
                </c:pt>
                <c:pt idx="6">
                  <c:v>232.33</c:v>
                </c:pt>
                <c:pt idx="7">
                  <c:v>3464.7</c:v>
                </c:pt>
                <c:pt idx="8">
                  <c:v>2404.46</c:v>
                </c:pt>
                <c:pt idx="9">
                  <c:v>2832.29</c:v>
                </c:pt>
                <c:pt idx="10">
                  <c:v>82.34</c:v>
                </c:pt>
                <c:pt idx="11">
                  <c:v>3879.64</c:v>
                </c:pt>
                <c:pt idx="12">
                  <c:v>3329.77</c:v>
                </c:pt>
                <c:pt idx="13">
                  <c:v>849.36</c:v>
                </c:pt>
                <c:pt idx="14">
                  <c:v>727.3</c:v>
                </c:pt>
                <c:pt idx="15">
                  <c:v>733.62</c:v>
                </c:pt>
                <c:pt idx="16">
                  <c:v>1216.97</c:v>
                </c:pt>
                <c:pt idx="17">
                  <c:v>2099.0300000000002</c:v>
                </c:pt>
                <c:pt idx="18">
                  <c:v>1727.78</c:v>
                </c:pt>
                <c:pt idx="19">
                  <c:v>1164.92</c:v>
                </c:pt>
                <c:pt idx="20">
                  <c:v>2447.41</c:v>
                </c:pt>
                <c:pt idx="21">
                  <c:v>557.98</c:v>
                </c:pt>
                <c:pt idx="22">
                  <c:v>1168.58</c:v>
                </c:pt>
                <c:pt idx="23">
                  <c:v>1465.45</c:v>
                </c:pt>
                <c:pt idx="24">
                  <c:v>1824.28</c:v>
                </c:pt>
                <c:pt idx="25">
                  <c:v>3140.7</c:v>
                </c:pt>
                <c:pt idx="26">
                  <c:v>798.7</c:v>
                </c:pt>
                <c:pt idx="27">
                  <c:v>2056.94</c:v>
                </c:pt>
                <c:pt idx="28">
                  <c:v>2369.66</c:v>
                </c:pt>
                <c:pt idx="29">
                  <c:v>185.8</c:v>
                </c:pt>
                <c:pt idx="30">
                  <c:v>2430.1799999999998</c:v>
                </c:pt>
                <c:pt idx="31">
                  <c:v>682.1</c:v>
                </c:pt>
                <c:pt idx="32">
                  <c:v>260.20999999999998</c:v>
                </c:pt>
                <c:pt idx="33">
                  <c:v>3795.54</c:v>
                </c:pt>
                <c:pt idx="34">
                  <c:v>3862.53</c:v>
                </c:pt>
                <c:pt idx="35">
                  <c:v>3233.59</c:v>
                </c:pt>
                <c:pt idx="36">
                  <c:v>1218.46</c:v>
                </c:pt>
                <c:pt idx="37">
                  <c:v>390.69</c:v>
                </c:pt>
                <c:pt idx="38">
                  <c:v>2736.93</c:v>
                </c:pt>
                <c:pt idx="39">
                  <c:v>1760.61</c:v>
                </c:pt>
                <c:pt idx="40">
                  <c:v>488.15</c:v>
                </c:pt>
                <c:pt idx="41">
                  <c:v>1980.71</c:v>
                </c:pt>
                <c:pt idx="42">
                  <c:v>137.55000000000001</c:v>
                </c:pt>
                <c:pt idx="43">
                  <c:v>3637.28</c:v>
                </c:pt>
                <c:pt idx="44">
                  <c:v>1035.1199999999999</c:v>
                </c:pt>
                <c:pt idx="45">
                  <c:v>2650.09</c:v>
                </c:pt>
                <c:pt idx="46">
                  <c:v>1246.8399999999999</c:v>
                </c:pt>
                <c:pt idx="47">
                  <c:v>2080.27</c:v>
                </c:pt>
                <c:pt idx="48">
                  <c:v>2186.84</c:v>
                </c:pt>
                <c:pt idx="49">
                  <c:v>739.42</c:v>
                </c:pt>
              </c:numCache>
            </c:numRef>
          </c:xVal>
          <c:yVal>
            <c:numRef>
              <c:f>'1.海拔-气温'!$B$2:$B$51</c:f>
              <c:numCache>
                <c:formatCode>General</c:formatCode>
                <c:ptCount val="50"/>
                <c:pt idx="0">
                  <c:v>6.37</c:v>
                </c:pt>
                <c:pt idx="1">
                  <c:v>-9.4600000000000009</c:v>
                </c:pt>
                <c:pt idx="2">
                  <c:v>-4.21</c:v>
                </c:pt>
                <c:pt idx="3">
                  <c:v>-1.02</c:v>
                </c:pt>
                <c:pt idx="4">
                  <c:v>8.73</c:v>
                </c:pt>
                <c:pt idx="5">
                  <c:v>9.86</c:v>
                </c:pt>
                <c:pt idx="6">
                  <c:v>12.8</c:v>
                </c:pt>
                <c:pt idx="7">
                  <c:v>-5.93</c:v>
                </c:pt>
                <c:pt idx="8">
                  <c:v>-0.11</c:v>
                </c:pt>
                <c:pt idx="9">
                  <c:v>-6.05</c:v>
                </c:pt>
                <c:pt idx="10">
                  <c:v>14.95</c:v>
                </c:pt>
                <c:pt idx="11">
                  <c:v>-10.8</c:v>
                </c:pt>
                <c:pt idx="12">
                  <c:v>-7.66</c:v>
                </c:pt>
                <c:pt idx="13">
                  <c:v>10.4</c:v>
                </c:pt>
                <c:pt idx="14">
                  <c:v>11.82</c:v>
                </c:pt>
                <c:pt idx="15">
                  <c:v>11.63</c:v>
                </c:pt>
                <c:pt idx="16">
                  <c:v>5.83</c:v>
                </c:pt>
                <c:pt idx="17">
                  <c:v>0.89</c:v>
                </c:pt>
                <c:pt idx="18">
                  <c:v>4.2699999999999996</c:v>
                </c:pt>
                <c:pt idx="19">
                  <c:v>8.89</c:v>
                </c:pt>
                <c:pt idx="20">
                  <c:v>-1.63</c:v>
                </c:pt>
                <c:pt idx="21">
                  <c:v>11.09</c:v>
                </c:pt>
                <c:pt idx="22">
                  <c:v>5.74</c:v>
                </c:pt>
                <c:pt idx="23">
                  <c:v>3.68</c:v>
                </c:pt>
                <c:pt idx="24">
                  <c:v>4.3600000000000003</c:v>
                </c:pt>
                <c:pt idx="25">
                  <c:v>-3.38</c:v>
                </c:pt>
                <c:pt idx="26">
                  <c:v>9.6999999999999993</c:v>
                </c:pt>
                <c:pt idx="27">
                  <c:v>3.14</c:v>
                </c:pt>
                <c:pt idx="28">
                  <c:v>0.14000000000000001</c:v>
                </c:pt>
                <c:pt idx="29">
                  <c:v>12.82</c:v>
                </c:pt>
                <c:pt idx="30">
                  <c:v>-0.25</c:v>
                </c:pt>
                <c:pt idx="31">
                  <c:v>12.87</c:v>
                </c:pt>
                <c:pt idx="32">
                  <c:v>13.25</c:v>
                </c:pt>
                <c:pt idx="33">
                  <c:v>-7.32</c:v>
                </c:pt>
                <c:pt idx="34">
                  <c:v>-14.04</c:v>
                </c:pt>
                <c:pt idx="35">
                  <c:v>-4.79</c:v>
                </c:pt>
                <c:pt idx="36">
                  <c:v>7.21</c:v>
                </c:pt>
                <c:pt idx="37">
                  <c:v>12.01</c:v>
                </c:pt>
                <c:pt idx="38">
                  <c:v>-2.65</c:v>
                </c:pt>
                <c:pt idx="39">
                  <c:v>0.56999999999999995</c:v>
                </c:pt>
                <c:pt idx="40">
                  <c:v>11.5</c:v>
                </c:pt>
                <c:pt idx="41">
                  <c:v>2.66</c:v>
                </c:pt>
                <c:pt idx="42">
                  <c:v>16.32</c:v>
                </c:pt>
                <c:pt idx="43">
                  <c:v>-9.42</c:v>
                </c:pt>
                <c:pt idx="44">
                  <c:v>7.06</c:v>
                </c:pt>
                <c:pt idx="45">
                  <c:v>-2.98</c:v>
                </c:pt>
                <c:pt idx="46">
                  <c:v>8.27</c:v>
                </c:pt>
                <c:pt idx="47">
                  <c:v>1.97</c:v>
                </c:pt>
                <c:pt idx="48">
                  <c:v>-0.01</c:v>
                </c:pt>
                <c:pt idx="49">
                  <c:v>10.96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4A-7B40-8103-6C39BE5CC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080767"/>
        <c:axId val="275765375"/>
      </c:scatterChart>
      <c:valAx>
        <c:axId val="30908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海拔高度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75765375"/>
        <c:crosses val="autoZero"/>
        <c:crossBetween val="midCat"/>
      </c:valAx>
      <c:valAx>
        <c:axId val="27576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气温 </a:t>
                </a:r>
                <a:r>
                  <a:rPr lang="en-US"/>
                  <a:t>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30908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'2.冰淇淋-空调销量'!$B$1</c:f>
              <c:strCache>
                <c:ptCount val="1"/>
                <c:pt idx="0">
                  <c:v>空调销量 (台/周)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N"/>
                </a:p>
              </c:txPr>
            </c:trendlineLbl>
          </c:trendline>
          <c:xVal>
            <c:numRef>
              <c:f>'2.冰淇淋-空调销量'!$A$2:$A$51</c:f>
              <c:numCache>
                <c:formatCode>General</c:formatCode>
                <c:ptCount val="50"/>
                <c:pt idx="0">
                  <c:v>740.9</c:v>
                </c:pt>
                <c:pt idx="1">
                  <c:v>570.79999999999995</c:v>
                </c:pt>
                <c:pt idx="2">
                  <c:v>579.51</c:v>
                </c:pt>
                <c:pt idx="3">
                  <c:v>739.64</c:v>
                </c:pt>
                <c:pt idx="4">
                  <c:v>449.73</c:v>
                </c:pt>
                <c:pt idx="5">
                  <c:v>500.86</c:v>
                </c:pt>
                <c:pt idx="6">
                  <c:v>430.08</c:v>
                </c:pt>
                <c:pt idx="7">
                  <c:v>696.35</c:v>
                </c:pt>
                <c:pt idx="8">
                  <c:v>644.54999999999995</c:v>
                </c:pt>
                <c:pt idx="9">
                  <c:v>696.19</c:v>
                </c:pt>
                <c:pt idx="10">
                  <c:v>492.48</c:v>
                </c:pt>
                <c:pt idx="11">
                  <c:v>502.74</c:v>
                </c:pt>
                <c:pt idx="12">
                  <c:v>587.20000000000005</c:v>
                </c:pt>
                <c:pt idx="13">
                  <c:v>606.20000000000005</c:v>
                </c:pt>
                <c:pt idx="14">
                  <c:v>337.75</c:v>
                </c:pt>
                <c:pt idx="15">
                  <c:v>556.25</c:v>
                </c:pt>
                <c:pt idx="16">
                  <c:v>771.09</c:v>
                </c:pt>
                <c:pt idx="17">
                  <c:v>599.04999999999995</c:v>
                </c:pt>
                <c:pt idx="18">
                  <c:v>505.03</c:v>
                </c:pt>
                <c:pt idx="19">
                  <c:v>561.91</c:v>
                </c:pt>
                <c:pt idx="20">
                  <c:v>592.21</c:v>
                </c:pt>
                <c:pt idx="21">
                  <c:v>784.02</c:v>
                </c:pt>
                <c:pt idx="22">
                  <c:v>777.08</c:v>
                </c:pt>
                <c:pt idx="23">
                  <c:v>539.58000000000004</c:v>
                </c:pt>
                <c:pt idx="24">
                  <c:v>542.15</c:v>
                </c:pt>
                <c:pt idx="25">
                  <c:v>547.38</c:v>
                </c:pt>
                <c:pt idx="26">
                  <c:v>546.72</c:v>
                </c:pt>
                <c:pt idx="27">
                  <c:v>380.58</c:v>
                </c:pt>
                <c:pt idx="28">
                  <c:v>784.56</c:v>
                </c:pt>
                <c:pt idx="29">
                  <c:v>636.33000000000004</c:v>
                </c:pt>
                <c:pt idx="30">
                  <c:v>347.46</c:v>
                </c:pt>
                <c:pt idx="31">
                  <c:v>573.66</c:v>
                </c:pt>
                <c:pt idx="32">
                  <c:v>660.38</c:v>
                </c:pt>
                <c:pt idx="33">
                  <c:v>570.62</c:v>
                </c:pt>
                <c:pt idx="34">
                  <c:v>567.67999999999995</c:v>
                </c:pt>
                <c:pt idx="35">
                  <c:v>528.21</c:v>
                </c:pt>
                <c:pt idx="36">
                  <c:v>842.12</c:v>
                </c:pt>
                <c:pt idx="37">
                  <c:v>541.53</c:v>
                </c:pt>
                <c:pt idx="38">
                  <c:v>722.65</c:v>
                </c:pt>
                <c:pt idx="39">
                  <c:v>839.5</c:v>
                </c:pt>
                <c:pt idx="40">
                  <c:v>487.35</c:v>
                </c:pt>
                <c:pt idx="41">
                  <c:v>615.94000000000005</c:v>
                </c:pt>
                <c:pt idx="42">
                  <c:v>480.72</c:v>
                </c:pt>
                <c:pt idx="43">
                  <c:v>577.88</c:v>
                </c:pt>
                <c:pt idx="44">
                  <c:v>637.4</c:v>
                </c:pt>
                <c:pt idx="45">
                  <c:v>637.13</c:v>
                </c:pt>
                <c:pt idx="46">
                  <c:v>478.29</c:v>
                </c:pt>
                <c:pt idx="47">
                  <c:v>779.35</c:v>
                </c:pt>
                <c:pt idx="48">
                  <c:v>536.71</c:v>
                </c:pt>
                <c:pt idx="49">
                  <c:v>605.63</c:v>
                </c:pt>
              </c:numCache>
            </c:numRef>
          </c:xVal>
          <c:yVal>
            <c:numRef>
              <c:f>'2.冰淇淋-空调销量'!$B$2:$B$51</c:f>
              <c:numCache>
                <c:formatCode>General</c:formatCode>
                <c:ptCount val="50"/>
                <c:pt idx="0">
                  <c:v>321</c:v>
                </c:pt>
                <c:pt idx="1">
                  <c:v>200</c:v>
                </c:pt>
                <c:pt idx="2">
                  <c:v>349.85</c:v>
                </c:pt>
                <c:pt idx="3">
                  <c:v>292.02</c:v>
                </c:pt>
                <c:pt idx="4">
                  <c:v>174.97</c:v>
                </c:pt>
                <c:pt idx="5">
                  <c:v>214.37</c:v>
                </c:pt>
                <c:pt idx="6">
                  <c:v>200.77</c:v>
                </c:pt>
                <c:pt idx="7">
                  <c:v>284.29000000000002</c:v>
                </c:pt>
                <c:pt idx="8">
                  <c:v>344.18</c:v>
                </c:pt>
                <c:pt idx="9">
                  <c:v>324.73</c:v>
                </c:pt>
                <c:pt idx="10">
                  <c:v>128.94</c:v>
                </c:pt>
                <c:pt idx="11">
                  <c:v>188.24</c:v>
                </c:pt>
                <c:pt idx="12">
                  <c:v>224.48</c:v>
                </c:pt>
                <c:pt idx="13">
                  <c:v>253.69</c:v>
                </c:pt>
                <c:pt idx="14">
                  <c:v>150</c:v>
                </c:pt>
                <c:pt idx="15">
                  <c:v>169.83</c:v>
                </c:pt>
                <c:pt idx="16">
                  <c:v>352.15</c:v>
                </c:pt>
                <c:pt idx="17">
                  <c:v>248.74</c:v>
                </c:pt>
                <c:pt idx="18">
                  <c:v>221.26</c:v>
                </c:pt>
                <c:pt idx="19">
                  <c:v>307.04000000000002</c:v>
                </c:pt>
                <c:pt idx="20">
                  <c:v>239.82</c:v>
                </c:pt>
                <c:pt idx="21">
                  <c:v>291.66000000000003</c:v>
                </c:pt>
                <c:pt idx="22">
                  <c:v>364.98</c:v>
                </c:pt>
                <c:pt idx="23">
                  <c:v>244.37</c:v>
                </c:pt>
                <c:pt idx="24">
                  <c:v>315.64999999999998</c:v>
                </c:pt>
                <c:pt idx="25">
                  <c:v>278.05</c:v>
                </c:pt>
                <c:pt idx="26">
                  <c:v>153.53</c:v>
                </c:pt>
                <c:pt idx="27">
                  <c:v>129.9</c:v>
                </c:pt>
                <c:pt idx="28">
                  <c:v>307.91000000000003</c:v>
                </c:pt>
                <c:pt idx="29">
                  <c:v>288.18</c:v>
                </c:pt>
                <c:pt idx="30">
                  <c:v>205.22</c:v>
                </c:pt>
                <c:pt idx="31">
                  <c:v>250</c:v>
                </c:pt>
                <c:pt idx="32">
                  <c:v>365.67</c:v>
                </c:pt>
                <c:pt idx="33">
                  <c:v>270.86</c:v>
                </c:pt>
                <c:pt idx="34">
                  <c:v>244.36</c:v>
                </c:pt>
                <c:pt idx="35">
                  <c:v>292.63</c:v>
                </c:pt>
                <c:pt idx="36">
                  <c:v>335.6</c:v>
                </c:pt>
                <c:pt idx="37">
                  <c:v>252.49</c:v>
                </c:pt>
                <c:pt idx="38">
                  <c:v>255.03</c:v>
                </c:pt>
                <c:pt idx="39">
                  <c:v>298.3</c:v>
                </c:pt>
                <c:pt idx="40">
                  <c:v>189.46</c:v>
                </c:pt>
                <c:pt idx="41">
                  <c:v>308.08999999999997</c:v>
                </c:pt>
                <c:pt idx="42">
                  <c:v>180</c:v>
                </c:pt>
                <c:pt idx="43">
                  <c:v>192.98</c:v>
                </c:pt>
                <c:pt idx="44">
                  <c:v>320.88</c:v>
                </c:pt>
                <c:pt idx="45">
                  <c:v>187.95</c:v>
                </c:pt>
                <c:pt idx="46">
                  <c:v>163.02000000000001</c:v>
                </c:pt>
                <c:pt idx="47">
                  <c:v>378.14</c:v>
                </c:pt>
                <c:pt idx="48">
                  <c:v>232.24</c:v>
                </c:pt>
                <c:pt idx="49">
                  <c:v>150.43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06-E246-9CBD-C739FE5F8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81279"/>
        <c:axId val="198558143"/>
      </c:scatterChart>
      <c:valAx>
        <c:axId val="211681279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冰淇淋销量 </a:t>
                </a:r>
                <a:r>
                  <a:rPr lang="en-US" altLang="zh-CN"/>
                  <a:t>(</a:t>
                </a:r>
                <a:r>
                  <a:rPr lang="zh-CN" altLang="en-US"/>
                  <a:t>件</a:t>
                </a:r>
                <a:r>
                  <a:rPr lang="en-US" altLang="zh-CN"/>
                  <a:t>/</a:t>
                </a:r>
                <a:r>
                  <a:rPr lang="zh-CN" altLang="en-US"/>
                  <a:t>周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98558143"/>
        <c:crosses val="autoZero"/>
        <c:crossBetween val="midCat"/>
      </c:valAx>
      <c:valAx>
        <c:axId val="19855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空调销量 </a:t>
                </a:r>
                <a:r>
                  <a:rPr lang="en-US" altLang="zh-CN"/>
                  <a:t>(</a:t>
                </a:r>
                <a:r>
                  <a:rPr lang="zh-CN" altLang="en-US"/>
                  <a:t>台</a:t>
                </a:r>
                <a:r>
                  <a:rPr lang="en-US" altLang="zh-CN"/>
                  <a:t>/</a:t>
                </a:r>
                <a:r>
                  <a:rPr lang="zh-CN" altLang="en-US"/>
                  <a:t>周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1681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'3.年龄-握力'!$B$1:$B$1</c:f>
              <c:strCache>
                <c:ptCount val="1"/>
                <c:pt idx="0">
                  <c:v>握力 (kg)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'3.年龄-握力'!$A$2:$A$51</c:f>
              <c:numCache>
                <c:formatCode>General</c:formatCode>
                <c:ptCount val="50"/>
                <c:pt idx="0">
                  <c:v>63.9</c:v>
                </c:pt>
                <c:pt idx="1">
                  <c:v>25.11</c:v>
                </c:pt>
                <c:pt idx="2">
                  <c:v>53.6</c:v>
                </c:pt>
                <c:pt idx="3">
                  <c:v>15.97</c:v>
                </c:pt>
                <c:pt idx="4">
                  <c:v>13.62</c:v>
                </c:pt>
                <c:pt idx="5">
                  <c:v>47.19</c:v>
                </c:pt>
                <c:pt idx="6">
                  <c:v>47.84</c:v>
                </c:pt>
                <c:pt idx="7">
                  <c:v>54.62</c:v>
                </c:pt>
                <c:pt idx="8">
                  <c:v>60.83</c:v>
                </c:pt>
                <c:pt idx="9">
                  <c:v>78.31</c:v>
                </c:pt>
                <c:pt idx="10">
                  <c:v>46.14</c:v>
                </c:pt>
                <c:pt idx="11">
                  <c:v>32.61</c:v>
                </c:pt>
                <c:pt idx="12">
                  <c:v>65.66</c:v>
                </c:pt>
                <c:pt idx="13">
                  <c:v>28.96</c:v>
                </c:pt>
                <c:pt idx="14">
                  <c:v>40.729999999999997</c:v>
                </c:pt>
                <c:pt idx="15">
                  <c:v>15.49</c:v>
                </c:pt>
                <c:pt idx="16">
                  <c:v>11.77</c:v>
                </c:pt>
                <c:pt idx="17">
                  <c:v>77.39</c:v>
                </c:pt>
                <c:pt idx="18">
                  <c:v>68.52</c:v>
                </c:pt>
                <c:pt idx="19">
                  <c:v>58.72</c:v>
                </c:pt>
                <c:pt idx="20">
                  <c:v>38.630000000000003</c:v>
                </c:pt>
                <c:pt idx="21">
                  <c:v>22.13</c:v>
                </c:pt>
                <c:pt idx="22">
                  <c:v>20.95</c:v>
                </c:pt>
                <c:pt idx="23">
                  <c:v>27.52</c:v>
                </c:pt>
                <c:pt idx="24">
                  <c:v>48.45</c:v>
                </c:pt>
                <c:pt idx="25">
                  <c:v>60.02</c:v>
                </c:pt>
                <c:pt idx="26">
                  <c:v>56.21</c:v>
                </c:pt>
                <c:pt idx="27">
                  <c:v>29.6</c:v>
                </c:pt>
                <c:pt idx="28">
                  <c:v>76.84</c:v>
                </c:pt>
                <c:pt idx="29">
                  <c:v>61.65</c:v>
                </c:pt>
                <c:pt idx="30">
                  <c:v>48.8</c:v>
                </c:pt>
                <c:pt idx="31">
                  <c:v>52.82</c:v>
                </c:pt>
                <c:pt idx="32">
                  <c:v>39.369999999999997</c:v>
                </c:pt>
                <c:pt idx="33">
                  <c:v>27.34</c:v>
                </c:pt>
                <c:pt idx="34">
                  <c:v>34.92</c:v>
                </c:pt>
                <c:pt idx="35">
                  <c:v>63.05</c:v>
                </c:pt>
                <c:pt idx="36">
                  <c:v>11.01</c:v>
                </c:pt>
                <c:pt idx="37">
                  <c:v>18.13</c:v>
                </c:pt>
                <c:pt idx="38">
                  <c:v>13.22</c:v>
                </c:pt>
                <c:pt idx="39">
                  <c:v>12.85</c:v>
                </c:pt>
                <c:pt idx="40">
                  <c:v>69.88</c:v>
                </c:pt>
                <c:pt idx="41">
                  <c:v>59.26</c:v>
                </c:pt>
                <c:pt idx="42">
                  <c:v>43.19</c:v>
                </c:pt>
                <c:pt idx="43">
                  <c:v>16.850000000000001</c:v>
                </c:pt>
                <c:pt idx="44">
                  <c:v>44.41</c:v>
                </c:pt>
                <c:pt idx="45">
                  <c:v>43.14</c:v>
                </c:pt>
                <c:pt idx="46">
                  <c:v>22.12</c:v>
                </c:pt>
                <c:pt idx="47">
                  <c:v>40.369999999999997</c:v>
                </c:pt>
                <c:pt idx="48">
                  <c:v>37.9</c:v>
                </c:pt>
                <c:pt idx="49">
                  <c:v>53.11</c:v>
                </c:pt>
              </c:numCache>
            </c:numRef>
          </c:xVal>
          <c:yVal>
            <c:numRef>
              <c:f>'3.年龄-握力'!$B$2:$B$51</c:f>
              <c:numCache>
                <c:formatCode>General</c:formatCode>
                <c:ptCount val="50"/>
                <c:pt idx="0">
                  <c:v>10</c:v>
                </c:pt>
                <c:pt idx="1">
                  <c:v>45.39</c:v>
                </c:pt>
                <c:pt idx="2">
                  <c:v>28.87</c:v>
                </c:pt>
                <c:pt idx="3">
                  <c:v>38.659999999999997</c:v>
                </c:pt>
                <c:pt idx="4">
                  <c:v>45.25</c:v>
                </c:pt>
                <c:pt idx="5">
                  <c:v>32.72</c:v>
                </c:pt>
                <c:pt idx="6">
                  <c:v>29.01</c:v>
                </c:pt>
                <c:pt idx="7">
                  <c:v>24.45</c:v>
                </c:pt>
                <c:pt idx="8">
                  <c:v>13.51</c:v>
                </c:pt>
                <c:pt idx="9">
                  <c:v>10</c:v>
                </c:pt>
                <c:pt idx="10">
                  <c:v>34.04</c:v>
                </c:pt>
                <c:pt idx="11">
                  <c:v>42.4</c:v>
                </c:pt>
                <c:pt idx="12">
                  <c:v>10</c:v>
                </c:pt>
                <c:pt idx="13">
                  <c:v>46.59</c:v>
                </c:pt>
                <c:pt idx="14">
                  <c:v>43.57</c:v>
                </c:pt>
                <c:pt idx="15">
                  <c:v>39.03</c:v>
                </c:pt>
                <c:pt idx="16">
                  <c:v>47.03</c:v>
                </c:pt>
                <c:pt idx="17">
                  <c:v>10</c:v>
                </c:pt>
                <c:pt idx="18">
                  <c:v>10</c:v>
                </c:pt>
                <c:pt idx="19">
                  <c:v>18.34</c:v>
                </c:pt>
                <c:pt idx="20">
                  <c:v>41.2</c:v>
                </c:pt>
                <c:pt idx="21">
                  <c:v>42.93</c:v>
                </c:pt>
                <c:pt idx="22">
                  <c:v>43.97</c:v>
                </c:pt>
                <c:pt idx="23">
                  <c:v>43.36</c:v>
                </c:pt>
                <c:pt idx="24">
                  <c:v>29.49</c:v>
                </c:pt>
                <c:pt idx="25">
                  <c:v>16.89</c:v>
                </c:pt>
                <c:pt idx="26">
                  <c:v>21.71</c:v>
                </c:pt>
                <c:pt idx="27">
                  <c:v>42.39</c:v>
                </c:pt>
                <c:pt idx="28">
                  <c:v>10</c:v>
                </c:pt>
                <c:pt idx="29">
                  <c:v>12.34</c:v>
                </c:pt>
                <c:pt idx="30">
                  <c:v>33.270000000000003</c:v>
                </c:pt>
                <c:pt idx="31">
                  <c:v>27.54</c:v>
                </c:pt>
                <c:pt idx="32">
                  <c:v>37.35</c:v>
                </c:pt>
                <c:pt idx="33">
                  <c:v>43.18</c:v>
                </c:pt>
                <c:pt idx="34">
                  <c:v>44.78</c:v>
                </c:pt>
                <c:pt idx="35">
                  <c:v>10.64</c:v>
                </c:pt>
                <c:pt idx="36">
                  <c:v>40.04</c:v>
                </c:pt>
                <c:pt idx="37">
                  <c:v>44.17</c:v>
                </c:pt>
                <c:pt idx="38">
                  <c:v>45.36</c:v>
                </c:pt>
                <c:pt idx="39">
                  <c:v>39.54</c:v>
                </c:pt>
                <c:pt idx="40">
                  <c:v>10</c:v>
                </c:pt>
                <c:pt idx="41">
                  <c:v>15.06</c:v>
                </c:pt>
                <c:pt idx="42">
                  <c:v>36.07</c:v>
                </c:pt>
                <c:pt idx="43">
                  <c:v>46.64</c:v>
                </c:pt>
                <c:pt idx="44">
                  <c:v>38.049999999999997</c:v>
                </c:pt>
                <c:pt idx="45">
                  <c:v>39.21</c:v>
                </c:pt>
                <c:pt idx="46">
                  <c:v>48.71</c:v>
                </c:pt>
                <c:pt idx="47">
                  <c:v>39.159999999999997</c:v>
                </c:pt>
                <c:pt idx="48">
                  <c:v>42.89</c:v>
                </c:pt>
                <c:pt idx="49">
                  <c:v>24.32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26-3742-827B-005AF90CA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416703"/>
        <c:axId val="230586367"/>
      </c:scatterChart>
      <c:valAx>
        <c:axId val="21441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年龄 </a:t>
                </a:r>
                <a:r>
                  <a:rPr lang="en-US" altLang="zh-CN"/>
                  <a:t>(</a:t>
                </a:r>
                <a:r>
                  <a:rPr lang="zh-CN" altLang="en-US"/>
                  <a:t>岁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30586367"/>
        <c:crosses val="autoZero"/>
        <c:crossBetween val="midCat"/>
      </c:valAx>
      <c:valAx>
        <c:axId val="2305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握力 </a:t>
                </a:r>
                <a:r>
                  <a:rPr lang="en-US" altLang="zh-CN"/>
                  <a:t>(</a:t>
                </a:r>
                <a:r>
                  <a:rPr lang="en-US"/>
                  <a:t>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441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'4.酒精浓度-反应时间'!$B$1:$B$1</c:f>
              <c:strCache>
                <c:ptCount val="1"/>
                <c:pt idx="0">
                  <c:v>反应时间 (秒)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'4.酒精浓度-反应时间'!$A$2:$A$51</c:f>
              <c:numCache>
                <c:formatCode>General</c:formatCode>
                <c:ptCount val="50"/>
                <c:pt idx="0">
                  <c:v>0.1</c:v>
                </c:pt>
                <c:pt idx="1">
                  <c:v>0</c:v>
                </c:pt>
                <c:pt idx="2">
                  <c:v>0.23</c:v>
                </c:pt>
                <c:pt idx="3">
                  <c:v>0.02</c:v>
                </c:pt>
                <c:pt idx="4">
                  <c:v>0.08</c:v>
                </c:pt>
                <c:pt idx="5">
                  <c:v>0.24</c:v>
                </c:pt>
                <c:pt idx="6">
                  <c:v>0.24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0.11</c:v>
                </c:pt>
                <c:pt idx="10">
                  <c:v>7.0000000000000007E-2</c:v>
                </c:pt>
                <c:pt idx="11">
                  <c:v>0.08</c:v>
                </c:pt>
                <c:pt idx="12">
                  <c:v>0.17</c:v>
                </c:pt>
                <c:pt idx="13">
                  <c:v>0.19</c:v>
                </c:pt>
                <c:pt idx="14">
                  <c:v>0.2</c:v>
                </c:pt>
                <c:pt idx="15">
                  <c:v>0.2</c:v>
                </c:pt>
                <c:pt idx="16">
                  <c:v>0.02</c:v>
                </c:pt>
                <c:pt idx="17">
                  <c:v>0.12</c:v>
                </c:pt>
                <c:pt idx="18">
                  <c:v>0.01</c:v>
                </c:pt>
                <c:pt idx="19">
                  <c:v>0.14000000000000001</c:v>
                </c:pt>
                <c:pt idx="20">
                  <c:v>0.11</c:v>
                </c:pt>
                <c:pt idx="21">
                  <c:v>0.22</c:v>
                </c:pt>
                <c:pt idx="22">
                  <c:v>0.09</c:v>
                </c:pt>
                <c:pt idx="23">
                  <c:v>0.03</c:v>
                </c:pt>
                <c:pt idx="24">
                  <c:v>0.04</c:v>
                </c:pt>
                <c:pt idx="25">
                  <c:v>0.19</c:v>
                </c:pt>
                <c:pt idx="26">
                  <c:v>0.15</c:v>
                </c:pt>
                <c:pt idx="27">
                  <c:v>0.03</c:v>
                </c:pt>
                <c:pt idx="28">
                  <c:v>0.02</c:v>
                </c:pt>
                <c:pt idx="29">
                  <c:v>0.18</c:v>
                </c:pt>
                <c:pt idx="30">
                  <c:v>0.02</c:v>
                </c:pt>
                <c:pt idx="31">
                  <c:v>0.21</c:v>
                </c:pt>
                <c:pt idx="32">
                  <c:v>0.18</c:v>
                </c:pt>
                <c:pt idx="33">
                  <c:v>0.02</c:v>
                </c:pt>
                <c:pt idx="34">
                  <c:v>0.02</c:v>
                </c:pt>
                <c:pt idx="35">
                  <c:v>0.25</c:v>
                </c:pt>
                <c:pt idx="36">
                  <c:v>0.09</c:v>
                </c:pt>
                <c:pt idx="37">
                  <c:v>0.09</c:v>
                </c:pt>
                <c:pt idx="38">
                  <c:v>0.2</c:v>
                </c:pt>
                <c:pt idx="39">
                  <c:v>0.24</c:v>
                </c:pt>
                <c:pt idx="40">
                  <c:v>0.25</c:v>
                </c:pt>
                <c:pt idx="41">
                  <c:v>0.19</c:v>
                </c:pt>
                <c:pt idx="42">
                  <c:v>0.09</c:v>
                </c:pt>
                <c:pt idx="43">
                  <c:v>0.02</c:v>
                </c:pt>
                <c:pt idx="44">
                  <c:v>0.19</c:v>
                </c:pt>
                <c:pt idx="45">
                  <c:v>0.14000000000000001</c:v>
                </c:pt>
                <c:pt idx="46">
                  <c:v>0.11</c:v>
                </c:pt>
                <c:pt idx="47">
                  <c:v>0.23</c:v>
                </c:pt>
                <c:pt idx="48">
                  <c:v>0.03</c:v>
                </c:pt>
                <c:pt idx="49">
                  <c:v>0.12</c:v>
                </c:pt>
              </c:numCache>
            </c:numRef>
          </c:xVal>
          <c:yVal>
            <c:numRef>
              <c:f>'4.酒精浓度-反应时间'!$B$2:$B$51</c:f>
              <c:numCache>
                <c:formatCode>General</c:formatCode>
                <c:ptCount val="50"/>
                <c:pt idx="0">
                  <c:v>0.51</c:v>
                </c:pt>
                <c:pt idx="1">
                  <c:v>0.23</c:v>
                </c:pt>
                <c:pt idx="2">
                  <c:v>1.23</c:v>
                </c:pt>
                <c:pt idx="3">
                  <c:v>0.22</c:v>
                </c:pt>
                <c:pt idx="4">
                  <c:v>0.49</c:v>
                </c:pt>
                <c:pt idx="5">
                  <c:v>1.41</c:v>
                </c:pt>
                <c:pt idx="6">
                  <c:v>1.28</c:v>
                </c:pt>
                <c:pt idx="7">
                  <c:v>0.74</c:v>
                </c:pt>
                <c:pt idx="8">
                  <c:v>0.84</c:v>
                </c:pt>
                <c:pt idx="9">
                  <c:v>0.54</c:v>
                </c:pt>
                <c:pt idx="10">
                  <c:v>0.44</c:v>
                </c:pt>
                <c:pt idx="11">
                  <c:v>0.46</c:v>
                </c:pt>
                <c:pt idx="12">
                  <c:v>0.85</c:v>
                </c:pt>
                <c:pt idx="13">
                  <c:v>0.89</c:v>
                </c:pt>
                <c:pt idx="14">
                  <c:v>1.02</c:v>
                </c:pt>
                <c:pt idx="15">
                  <c:v>1.05</c:v>
                </c:pt>
                <c:pt idx="16">
                  <c:v>0.41</c:v>
                </c:pt>
                <c:pt idx="17">
                  <c:v>0.7</c:v>
                </c:pt>
                <c:pt idx="18">
                  <c:v>0.45</c:v>
                </c:pt>
                <c:pt idx="19">
                  <c:v>0.62</c:v>
                </c:pt>
                <c:pt idx="20">
                  <c:v>0.63</c:v>
                </c:pt>
                <c:pt idx="21">
                  <c:v>1.19</c:v>
                </c:pt>
                <c:pt idx="22">
                  <c:v>0.65</c:v>
                </c:pt>
                <c:pt idx="23">
                  <c:v>0.24</c:v>
                </c:pt>
                <c:pt idx="24">
                  <c:v>0.25</c:v>
                </c:pt>
                <c:pt idx="25">
                  <c:v>0.92</c:v>
                </c:pt>
                <c:pt idx="26">
                  <c:v>0.6</c:v>
                </c:pt>
                <c:pt idx="27">
                  <c:v>0.25</c:v>
                </c:pt>
                <c:pt idx="28">
                  <c:v>0.23</c:v>
                </c:pt>
                <c:pt idx="29">
                  <c:v>0.89</c:v>
                </c:pt>
                <c:pt idx="30">
                  <c:v>0.31</c:v>
                </c:pt>
                <c:pt idx="31">
                  <c:v>1.21</c:v>
                </c:pt>
                <c:pt idx="32">
                  <c:v>0.96</c:v>
                </c:pt>
                <c:pt idx="33">
                  <c:v>0.24</c:v>
                </c:pt>
                <c:pt idx="34">
                  <c:v>0.22</c:v>
                </c:pt>
                <c:pt idx="35">
                  <c:v>1.39</c:v>
                </c:pt>
                <c:pt idx="36">
                  <c:v>0.39</c:v>
                </c:pt>
                <c:pt idx="37">
                  <c:v>0.64</c:v>
                </c:pt>
                <c:pt idx="38">
                  <c:v>1.1399999999999999</c:v>
                </c:pt>
                <c:pt idx="39">
                  <c:v>1.24</c:v>
                </c:pt>
                <c:pt idx="40">
                  <c:v>1.21</c:v>
                </c:pt>
                <c:pt idx="41">
                  <c:v>1.07</c:v>
                </c:pt>
                <c:pt idx="42">
                  <c:v>0.49</c:v>
                </c:pt>
                <c:pt idx="43">
                  <c:v>0.39</c:v>
                </c:pt>
                <c:pt idx="44">
                  <c:v>0.87</c:v>
                </c:pt>
                <c:pt idx="45">
                  <c:v>0.65</c:v>
                </c:pt>
                <c:pt idx="46">
                  <c:v>0.54</c:v>
                </c:pt>
                <c:pt idx="47">
                  <c:v>1.21</c:v>
                </c:pt>
                <c:pt idx="48">
                  <c:v>0.26</c:v>
                </c:pt>
                <c:pt idx="49">
                  <c:v>0.67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1-554C-A34F-41C8923EC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624319"/>
        <c:axId val="221595391"/>
      </c:scatterChart>
      <c:valAx>
        <c:axId val="22162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血液酒精浓度 </a:t>
                </a:r>
                <a:r>
                  <a:rPr lang="en-US" altLang="zh-CN"/>
                  <a:t>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1595391"/>
        <c:crosses val="autoZero"/>
        <c:crossBetween val="midCat"/>
      </c:valAx>
      <c:valAx>
        <c:axId val="22159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反应时间 </a:t>
                </a:r>
                <a:r>
                  <a:rPr lang="en-US" altLang="zh-CN"/>
                  <a:t>(</a:t>
                </a:r>
                <a:r>
                  <a:rPr lang="zh-CN" altLang="en-US"/>
                  <a:t>秒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1624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'5.身高-体重'!$B$1:$B$1</c:f>
              <c:strCache>
                <c:ptCount val="1"/>
                <c:pt idx="0">
                  <c:v>体重 (kg)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'5.身高-体重'!$A$2:$A$52</c:f>
              <c:numCache>
                <c:formatCode>General</c:formatCode>
                <c:ptCount val="51"/>
                <c:pt idx="0">
                  <c:v>161.46</c:v>
                </c:pt>
                <c:pt idx="1">
                  <c:v>168.86</c:v>
                </c:pt>
                <c:pt idx="2">
                  <c:v>170.96</c:v>
                </c:pt>
                <c:pt idx="3">
                  <c:v>174.12</c:v>
                </c:pt>
                <c:pt idx="4">
                  <c:v>175.69</c:v>
                </c:pt>
                <c:pt idx="5">
                  <c:v>161</c:v>
                </c:pt>
                <c:pt idx="6">
                  <c:v>157.72999999999999</c:v>
                </c:pt>
                <c:pt idx="7">
                  <c:v>180.22</c:v>
                </c:pt>
                <c:pt idx="8">
                  <c:v>172.66</c:v>
                </c:pt>
                <c:pt idx="9">
                  <c:v>164.01</c:v>
                </c:pt>
                <c:pt idx="10">
                  <c:v>182.41</c:v>
                </c:pt>
                <c:pt idx="11">
                  <c:v>170.93</c:v>
                </c:pt>
                <c:pt idx="12">
                  <c:v>179.43</c:v>
                </c:pt>
                <c:pt idx="13">
                  <c:v>170.54</c:v>
                </c:pt>
                <c:pt idx="14">
                  <c:v>186.49</c:v>
                </c:pt>
                <c:pt idx="15">
                  <c:v>184.04</c:v>
                </c:pt>
                <c:pt idx="16">
                  <c:v>168.01</c:v>
                </c:pt>
                <c:pt idx="17">
                  <c:v>177.77</c:v>
                </c:pt>
                <c:pt idx="18">
                  <c:v>175.16</c:v>
                </c:pt>
                <c:pt idx="19">
                  <c:v>180.95</c:v>
                </c:pt>
                <c:pt idx="20">
                  <c:v>162.28</c:v>
                </c:pt>
                <c:pt idx="21">
                  <c:v>175.49</c:v>
                </c:pt>
                <c:pt idx="22">
                  <c:v>178.47</c:v>
                </c:pt>
                <c:pt idx="23">
                  <c:v>155.93</c:v>
                </c:pt>
                <c:pt idx="24">
                  <c:v>160.53</c:v>
                </c:pt>
                <c:pt idx="25">
                  <c:v>153.69</c:v>
                </c:pt>
                <c:pt idx="26">
                  <c:v>167.84</c:v>
                </c:pt>
                <c:pt idx="27">
                  <c:v>175.74</c:v>
                </c:pt>
                <c:pt idx="28">
                  <c:v>182.02</c:v>
                </c:pt>
                <c:pt idx="29">
                  <c:v>170.59</c:v>
                </c:pt>
                <c:pt idx="30">
                  <c:v>183.03</c:v>
                </c:pt>
                <c:pt idx="31">
                  <c:v>158.96</c:v>
                </c:pt>
                <c:pt idx="32">
                  <c:v>156.37</c:v>
                </c:pt>
                <c:pt idx="33">
                  <c:v>169.56</c:v>
                </c:pt>
                <c:pt idx="34">
                  <c:v>173.07</c:v>
                </c:pt>
                <c:pt idx="35">
                  <c:v>169.74</c:v>
                </c:pt>
                <c:pt idx="36">
                  <c:v>153.46</c:v>
                </c:pt>
                <c:pt idx="37">
                  <c:v>169.29</c:v>
                </c:pt>
                <c:pt idx="38">
                  <c:v>159.56</c:v>
                </c:pt>
                <c:pt idx="39">
                  <c:v>175.36</c:v>
                </c:pt>
                <c:pt idx="40">
                  <c:v>172.93</c:v>
                </c:pt>
                <c:pt idx="41">
                  <c:v>162.47999999999999</c:v>
                </c:pt>
                <c:pt idx="42">
                  <c:v>165.89</c:v>
                </c:pt>
                <c:pt idx="43">
                  <c:v>161.53</c:v>
                </c:pt>
                <c:pt idx="44">
                  <c:v>169.5</c:v>
                </c:pt>
                <c:pt idx="45">
                  <c:v>177.64</c:v>
                </c:pt>
                <c:pt idx="46">
                  <c:v>162.11000000000001</c:v>
                </c:pt>
                <c:pt idx="47">
                  <c:v>174.03</c:v>
                </c:pt>
                <c:pt idx="48">
                  <c:v>165.76</c:v>
                </c:pt>
                <c:pt idx="49">
                  <c:v>163.66</c:v>
                </c:pt>
                <c:pt idx="50">
                  <c:v>180</c:v>
                </c:pt>
              </c:numCache>
            </c:numRef>
          </c:xVal>
          <c:yVal>
            <c:numRef>
              <c:f>'5.身高-体重'!$B$2:$B$52</c:f>
              <c:numCache>
                <c:formatCode>General</c:formatCode>
                <c:ptCount val="51"/>
                <c:pt idx="0">
                  <c:v>54.05</c:v>
                </c:pt>
                <c:pt idx="1">
                  <c:v>52.5</c:v>
                </c:pt>
                <c:pt idx="2">
                  <c:v>57.33</c:v>
                </c:pt>
                <c:pt idx="3">
                  <c:v>54.59</c:v>
                </c:pt>
                <c:pt idx="4">
                  <c:v>79.98</c:v>
                </c:pt>
                <c:pt idx="5">
                  <c:v>54.66</c:v>
                </c:pt>
                <c:pt idx="6">
                  <c:v>47.89</c:v>
                </c:pt>
                <c:pt idx="7">
                  <c:v>69.94</c:v>
                </c:pt>
                <c:pt idx="8">
                  <c:v>61.77</c:v>
                </c:pt>
                <c:pt idx="9">
                  <c:v>55</c:v>
                </c:pt>
                <c:pt idx="10">
                  <c:v>74.98</c:v>
                </c:pt>
                <c:pt idx="11">
                  <c:v>66.89</c:v>
                </c:pt>
                <c:pt idx="12">
                  <c:v>63.34</c:v>
                </c:pt>
                <c:pt idx="13">
                  <c:v>56.89</c:v>
                </c:pt>
                <c:pt idx="14">
                  <c:v>70.64</c:v>
                </c:pt>
                <c:pt idx="15">
                  <c:v>51.64</c:v>
                </c:pt>
                <c:pt idx="16">
                  <c:v>48.58</c:v>
                </c:pt>
                <c:pt idx="17">
                  <c:v>77.17</c:v>
                </c:pt>
                <c:pt idx="18">
                  <c:v>77.05</c:v>
                </c:pt>
                <c:pt idx="19">
                  <c:v>66.72</c:v>
                </c:pt>
                <c:pt idx="20">
                  <c:v>59.1</c:v>
                </c:pt>
                <c:pt idx="21">
                  <c:v>67.069999999999993</c:v>
                </c:pt>
                <c:pt idx="22">
                  <c:v>91.4</c:v>
                </c:pt>
                <c:pt idx="23">
                  <c:v>57.87</c:v>
                </c:pt>
                <c:pt idx="24">
                  <c:v>53.3</c:v>
                </c:pt>
                <c:pt idx="25">
                  <c:v>43.96</c:v>
                </c:pt>
                <c:pt idx="26">
                  <c:v>47.85</c:v>
                </c:pt>
                <c:pt idx="27">
                  <c:v>66.430000000000007</c:v>
                </c:pt>
                <c:pt idx="28">
                  <c:v>63.31</c:v>
                </c:pt>
                <c:pt idx="29">
                  <c:v>50.77</c:v>
                </c:pt>
                <c:pt idx="30">
                  <c:v>64.930000000000007</c:v>
                </c:pt>
                <c:pt idx="31">
                  <c:v>46.23</c:v>
                </c:pt>
                <c:pt idx="32">
                  <c:v>61.66</c:v>
                </c:pt>
                <c:pt idx="33">
                  <c:v>66.709999999999994</c:v>
                </c:pt>
                <c:pt idx="34">
                  <c:v>62.84</c:v>
                </c:pt>
                <c:pt idx="35">
                  <c:v>71.16</c:v>
                </c:pt>
                <c:pt idx="36">
                  <c:v>49.91</c:v>
                </c:pt>
                <c:pt idx="37">
                  <c:v>54.01</c:v>
                </c:pt>
                <c:pt idx="38">
                  <c:v>63.16</c:v>
                </c:pt>
                <c:pt idx="39">
                  <c:v>68.72</c:v>
                </c:pt>
                <c:pt idx="40">
                  <c:v>55.05</c:v>
                </c:pt>
                <c:pt idx="41">
                  <c:v>54.18</c:v>
                </c:pt>
                <c:pt idx="42">
                  <c:v>51.77</c:v>
                </c:pt>
                <c:pt idx="43">
                  <c:v>45.77</c:v>
                </c:pt>
                <c:pt idx="44">
                  <c:v>66.98</c:v>
                </c:pt>
                <c:pt idx="45">
                  <c:v>81.33</c:v>
                </c:pt>
                <c:pt idx="46">
                  <c:v>46</c:v>
                </c:pt>
                <c:pt idx="47">
                  <c:v>67.87</c:v>
                </c:pt>
                <c:pt idx="48">
                  <c:v>53.23</c:v>
                </c:pt>
                <c:pt idx="49">
                  <c:v>52.98</c:v>
                </c:pt>
                <c:pt idx="50">
                  <c:v>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1B-B44A-AEE5-42F63ED12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407743"/>
        <c:axId val="222948735"/>
      </c:scatterChart>
      <c:valAx>
        <c:axId val="214407743"/>
        <c:scaling>
          <c:orientation val="minMax"/>
          <c:min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身高 </a:t>
                </a:r>
                <a:r>
                  <a:rPr lang="en-US" altLang="zh-CN"/>
                  <a:t>(</a:t>
                </a:r>
                <a:r>
                  <a:rPr lang="en-US"/>
                  <a:t>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2948735"/>
        <c:crosses val="autoZero"/>
        <c:crossBetween val="midCat"/>
      </c:valAx>
      <c:valAx>
        <c:axId val="22294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体重 </a:t>
                </a:r>
                <a:r>
                  <a:rPr lang="en-US" altLang="zh-CN"/>
                  <a:t>(</a:t>
                </a:r>
                <a:r>
                  <a:rPr lang="en-US"/>
                  <a:t>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440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'身高-体重分析'!$L$2:$L$26</c:f>
              <c:numCache>
                <c:formatCode>General</c:formatCode>
                <c:ptCount val="25"/>
                <c:pt idx="0">
                  <c:v>156</c:v>
                </c:pt>
                <c:pt idx="1">
                  <c:v>160.9</c:v>
                </c:pt>
                <c:pt idx="2">
                  <c:v>164.9</c:v>
                </c:pt>
                <c:pt idx="3">
                  <c:v>167.6</c:v>
                </c:pt>
                <c:pt idx="4">
                  <c:v>150.5</c:v>
                </c:pt>
                <c:pt idx="5">
                  <c:v>160.80000000000001</c:v>
                </c:pt>
                <c:pt idx="6">
                  <c:v>163.1</c:v>
                </c:pt>
                <c:pt idx="7">
                  <c:v>156.80000000000001</c:v>
                </c:pt>
                <c:pt idx="8">
                  <c:v>161.5</c:v>
                </c:pt>
                <c:pt idx="9">
                  <c:v>161.4</c:v>
                </c:pt>
                <c:pt idx="10">
                  <c:v>158.5</c:v>
                </c:pt>
                <c:pt idx="11">
                  <c:v>154.4</c:v>
                </c:pt>
                <c:pt idx="12">
                  <c:v>159.1</c:v>
                </c:pt>
                <c:pt idx="13">
                  <c:v>168.8</c:v>
                </c:pt>
                <c:pt idx="14">
                  <c:v>159.30000000000001</c:v>
                </c:pt>
                <c:pt idx="15">
                  <c:v>161.4</c:v>
                </c:pt>
                <c:pt idx="16">
                  <c:v>159.19999999999999</c:v>
                </c:pt>
                <c:pt idx="17">
                  <c:v>170.2</c:v>
                </c:pt>
                <c:pt idx="18">
                  <c:v>163.6</c:v>
                </c:pt>
                <c:pt idx="19">
                  <c:v>165.1</c:v>
                </c:pt>
                <c:pt idx="20">
                  <c:v>165.8</c:v>
                </c:pt>
                <c:pt idx="21">
                  <c:v>160.6</c:v>
                </c:pt>
                <c:pt idx="22">
                  <c:v>174</c:v>
                </c:pt>
                <c:pt idx="23">
                  <c:v>162.19999999999999</c:v>
                </c:pt>
                <c:pt idx="24">
                  <c:v>171.8</c:v>
                </c:pt>
              </c:numCache>
            </c:numRef>
          </c:xVal>
          <c:yVal>
            <c:numRef>
              <c:f>'身高-体重分析'!$M$2:$M$26</c:f>
              <c:numCache>
                <c:formatCode>General</c:formatCode>
                <c:ptCount val="25"/>
                <c:pt idx="0">
                  <c:v>45.4</c:v>
                </c:pt>
                <c:pt idx="1">
                  <c:v>51</c:v>
                </c:pt>
                <c:pt idx="2">
                  <c:v>58</c:v>
                </c:pt>
                <c:pt idx="3">
                  <c:v>53.7</c:v>
                </c:pt>
                <c:pt idx="4">
                  <c:v>40.200000000000003</c:v>
                </c:pt>
                <c:pt idx="5">
                  <c:v>54</c:v>
                </c:pt>
                <c:pt idx="6">
                  <c:v>58</c:v>
                </c:pt>
                <c:pt idx="7">
                  <c:v>40.799999999999997</c:v>
                </c:pt>
                <c:pt idx="8">
                  <c:v>47.7</c:v>
                </c:pt>
                <c:pt idx="9">
                  <c:v>50</c:v>
                </c:pt>
                <c:pt idx="10">
                  <c:v>45</c:v>
                </c:pt>
                <c:pt idx="11">
                  <c:v>47.7</c:v>
                </c:pt>
                <c:pt idx="12">
                  <c:v>65</c:v>
                </c:pt>
                <c:pt idx="13">
                  <c:v>53.2</c:v>
                </c:pt>
                <c:pt idx="14">
                  <c:v>46.9</c:v>
                </c:pt>
                <c:pt idx="15">
                  <c:v>50.5</c:v>
                </c:pt>
                <c:pt idx="16">
                  <c:v>53.2</c:v>
                </c:pt>
                <c:pt idx="17">
                  <c:v>51.1</c:v>
                </c:pt>
                <c:pt idx="18">
                  <c:v>46.4</c:v>
                </c:pt>
                <c:pt idx="19">
                  <c:v>50</c:v>
                </c:pt>
                <c:pt idx="20">
                  <c:v>53</c:v>
                </c:pt>
                <c:pt idx="21">
                  <c:v>55</c:v>
                </c:pt>
                <c:pt idx="22">
                  <c:v>60</c:v>
                </c:pt>
                <c:pt idx="23">
                  <c:v>50</c:v>
                </c:pt>
                <c:pt idx="24">
                  <c:v>52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C6-ED49-A752-EA6C5DEA543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'身高-体重分析'!$B$2:$B$26</c:f>
              <c:numCache>
                <c:formatCode>General</c:formatCode>
                <c:ptCount val="25"/>
                <c:pt idx="0">
                  <c:v>180.3</c:v>
                </c:pt>
                <c:pt idx="1">
                  <c:v>175.4</c:v>
                </c:pt>
                <c:pt idx="2">
                  <c:v>166.6</c:v>
                </c:pt>
                <c:pt idx="3">
                  <c:v>169.7</c:v>
                </c:pt>
                <c:pt idx="4">
                  <c:v>180.8</c:v>
                </c:pt>
                <c:pt idx="5">
                  <c:v>169.1</c:v>
                </c:pt>
                <c:pt idx="6">
                  <c:v>184.7</c:v>
                </c:pt>
                <c:pt idx="7">
                  <c:v>170.9</c:v>
                </c:pt>
                <c:pt idx="8">
                  <c:v>178.9</c:v>
                </c:pt>
                <c:pt idx="9">
                  <c:v>175.6</c:v>
                </c:pt>
                <c:pt idx="10">
                  <c:v>181.5</c:v>
                </c:pt>
                <c:pt idx="11">
                  <c:v>182</c:v>
                </c:pt>
                <c:pt idx="12">
                  <c:v>168.5</c:v>
                </c:pt>
                <c:pt idx="13">
                  <c:v>178.5</c:v>
                </c:pt>
                <c:pt idx="14">
                  <c:v>173.6</c:v>
                </c:pt>
                <c:pt idx="15">
                  <c:v>178.8</c:v>
                </c:pt>
                <c:pt idx="16">
                  <c:v>186.3</c:v>
                </c:pt>
                <c:pt idx="17">
                  <c:v>177.8</c:v>
                </c:pt>
                <c:pt idx="18">
                  <c:v>182.5</c:v>
                </c:pt>
                <c:pt idx="19">
                  <c:v>174.2</c:v>
                </c:pt>
                <c:pt idx="20">
                  <c:v>168.8</c:v>
                </c:pt>
                <c:pt idx="21">
                  <c:v>175.7</c:v>
                </c:pt>
                <c:pt idx="22">
                  <c:v>176.8</c:v>
                </c:pt>
                <c:pt idx="23">
                  <c:v>165.3</c:v>
                </c:pt>
                <c:pt idx="24">
                  <c:v>183.5</c:v>
                </c:pt>
              </c:numCache>
            </c:numRef>
          </c:xVal>
          <c:yVal>
            <c:numRef>
              <c:f>'身高-体重分析'!$C$2:$C$26</c:f>
              <c:numCache>
                <c:formatCode>General</c:formatCode>
                <c:ptCount val="25"/>
                <c:pt idx="0">
                  <c:v>70.900000000000006</c:v>
                </c:pt>
                <c:pt idx="1">
                  <c:v>63.3</c:v>
                </c:pt>
                <c:pt idx="2">
                  <c:v>60.3</c:v>
                </c:pt>
                <c:pt idx="3">
                  <c:v>69.099999999999994</c:v>
                </c:pt>
                <c:pt idx="4">
                  <c:v>75.8</c:v>
                </c:pt>
                <c:pt idx="5">
                  <c:v>55.2</c:v>
                </c:pt>
                <c:pt idx="6">
                  <c:v>78.400000000000006</c:v>
                </c:pt>
                <c:pt idx="7">
                  <c:v>67.400000000000006</c:v>
                </c:pt>
                <c:pt idx="8">
                  <c:v>72.400000000000006</c:v>
                </c:pt>
                <c:pt idx="9">
                  <c:v>60.1</c:v>
                </c:pt>
                <c:pt idx="10">
                  <c:v>73.7</c:v>
                </c:pt>
                <c:pt idx="11">
                  <c:v>66.900000000000006</c:v>
                </c:pt>
                <c:pt idx="12">
                  <c:v>65</c:v>
                </c:pt>
                <c:pt idx="13">
                  <c:v>67</c:v>
                </c:pt>
                <c:pt idx="14">
                  <c:v>63.6</c:v>
                </c:pt>
                <c:pt idx="15">
                  <c:v>67.5</c:v>
                </c:pt>
                <c:pt idx="16">
                  <c:v>81.099999999999994</c:v>
                </c:pt>
                <c:pt idx="17">
                  <c:v>77.900000000000006</c:v>
                </c:pt>
                <c:pt idx="18">
                  <c:v>74.7</c:v>
                </c:pt>
                <c:pt idx="19">
                  <c:v>67.099999999999994</c:v>
                </c:pt>
                <c:pt idx="20">
                  <c:v>71.5</c:v>
                </c:pt>
                <c:pt idx="21">
                  <c:v>72.7</c:v>
                </c:pt>
                <c:pt idx="22">
                  <c:v>70.099999999999994</c:v>
                </c:pt>
                <c:pt idx="23">
                  <c:v>65.2</c:v>
                </c:pt>
                <c:pt idx="24">
                  <c:v>75.599999999999994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C6-ED49-A752-EA6C5DEA5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72319"/>
        <c:axId val="164206271"/>
      </c:scatterChart>
      <c:valAx>
        <c:axId val="169072319"/>
        <c:scaling>
          <c:orientation val="minMax"/>
          <c:min val="1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身高 </a:t>
                </a:r>
                <a:r>
                  <a:rPr lang="en-US"/>
                  <a:t>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64206271"/>
        <c:crosses val="autoZero"/>
        <c:crossBetween val="midCat"/>
      </c:valAx>
      <c:valAx>
        <c:axId val="16420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体重 </a:t>
                </a:r>
                <a:r>
                  <a:rPr lang="en-US"/>
                  <a:t>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69072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'身高-体重分析'!$C$1</c:f>
              <c:strCache>
                <c:ptCount val="1"/>
                <c:pt idx="0">
                  <c:v>体重 (kg)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'身高-体重分析'!$B$2:$B$52</c:f>
              <c:numCache>
                <c:formatCode>General</c:formatCode>
                <c:ptCount val="51"/>
                <c:pt idx="0">
                  <c:v>180.3</c:v>
                </c:pt>
                <c:pt idx="1">
                  <c:v>175.4</c:v>
                </c:pt>
                <c:pt idx="2">
                  <c:v>166.6</c:v>
                </c:pt>
                <c:pt idx="3">
                  <c:v>169.7</c:v>
                </c:pt>
                <c:pt idx="4">
                  <c:v>180.8</c:v>
                </c:pt>
                <c:pt idx="5">
                  <c:v>169.1</c:v>
                </c:pt>
                <c:pt idx="6">
                  <c:v>184.7</c:v>
                </c:pt>
                <c:pt idx="7">
                  <c:v>170.9</c:v>
                </c:pt>
                <c:pt idx="8">
                  <c:v>178.9</c:v>
                </c:pt>
                <c:pt idx="9">
                  <c:v>175.6</c:v>
                </c:pt>
                <c:pt idx="10">
                  <c:v>181.5</c:v>
                </c:pt>
                <c:pt idx="11">
                  <c:v>182</c:v>
                </c:pt>
                <c:pt idx="12">
                  <c:v>168.5</c:v>
                </c:pt>
                <c:pt idx="13">
                  <c:v>178.5</c:v>
                </c:pt>
                <c:pt idx="14">
                  <c:v>173.6</c:v>
                </c:pt>
                <c:pt idx="15">
                  <c:v>178.8</c:v>
                </c:pt>
                <c:pt idx="16">
                  <c:v>186.3</c:v>
                </c:pt>
                <c:pt idx="17">
                  <c:v>177.8</c:v>
                </c:pt>
                <c:pt idx="18">
                  <c:v>182.5</c:v>
                </c:pt>
                <c:pt idx="19">
                  <c:v>174.2</c:v>
                </c:pt>
                <c:pt idx="20">
                  <c:v>168.8</c:v>
                </c:pt>
                <c:pt idx="21">
                  <c:v>175.7</c:v>
                </c:pt>
                <c:pt idx="22">
                  <c:v>176.8</c:v>
                </c:pt>
                <c:pt idx="23">
                  <c:v>165.3</c:v>
                </c:pt>
                <c:pt idx="24">
                  <c:v>183.5</c:v>
                </c:pt>
                <c:pt idx="25">
                  <c:v>156</c:v>
                </c:pt>
                <c:pt idx="26">
                  <c:v>160.9</c:v>
                </c:pt>
                <c:pt idx="27">
                  <c:v>164.9</c:v>
                </c:pt>
                <c:pt idx="28">
                  <c:v>167.6</c:v>
                </c:pt>
                <c:pt idx="29">
                  <c:v>150.5</c:v>
                </c:pt>
                <c:pt idx="30">
                  <c:v>160.80000000000001</c:v>
                </c:pt>
                <c:pt idx="31">
                  <c:v>163.1</c:v>
                </c:pt>
                <c:pt idx="32">
                  <c:v>156.80000000000001</c:v>
                </c:pt>
                <c:pt idx="33">
                  <c:v>161.5</c:v>
                </c:pt>
                <c:pt idx="34">
                  <c:v>161.4</c:v>
                </c:pt>
                <c:pt idx="35">
                  <c:v>158.5</c:v>
                </c:pt>
                <c:pt idx="36">
                  <c:v>154.4</c:v>
                </c:pt>
                <c:pt idx="37">
                  <c:v>159.1</c:v>
                </c:pt>
                <c:pt idx="38">
                  <c:v>168.8</c:v>
                </c:pt>
                <c:pt idx="39">
                  <c:v>159.30000000000001</c:v>
                </c:pt>
                <c:pt idx="40">
                  <c:v>161.4</c:v>
                </c:pt>
                <c:pt idx="41">
                  <c:v>159.19999999999999</c:v>
                </c:pt>
                <c:pt idx="42">
                  <c:v>170.2</c:v>
                </c:pt>
                <c:pt idx="43">
                  <c:v>163.6</c:v>
                </c:pt>
                <c:pt idx="44">
                  <c:v>165.1</c:v>
                </c:pt>
                <c:pt idx="45">
                  <c:v>165.8</c:v>
                </c:pt>
                <c:pt idx="46">
                  <c:v>160.6</c:v>
                </c:pt>
                <c:pt idx="47">
                  <c:v>174</c:v>
                </c:pt>
                <c:pt idx="48">
                  <c:v>162.19999999999999</c:v>
                </c:pt>
                <c:pt idx="49">
                  <c:v>171.8</c:v>
                </c:pt>
                <c:pt idx="50">
                  <c:v>169.26600000000002</c:v>
                </c:pt>
              </c:numCache>
            </c:numRef>
          </c:xVal>
          <c:yVal>
            <c:numRef>
              <c:f>'身高-体重分析'!$C$2:$C$52</c:f>
              <c:numCache>
                <c:formatCode>General</c:formatCode>
                <c:ptCount val="51"/>
                <c:pt idx="0">
                  <c:v>70.900000000000006</c:v>
                </c:pt>
                <c:pt idx="1">
                  <c:v>63.3</c:v>
                </c:pt>
                <c:pt idx="2">
                  <c:v>60.3</c:v>
                </c:pt>
                <c:pt idx="3">
                  <c:v>69.099999999999994</c:v>
                </c:pt>
                <c:pt idx="4">
                  <c:v>75.8</c:v>
                </c:pt>
                <c:pt idx="5">
                  <c:v>55.2</c:v>
                </c:pt>
                <c:pt idx="6">
                  <c:v>78.400000000000006</c:v>
                </c:pt>
                <c:pt idx="7">
                  <c:v>67.400000000000006</c:v>
                </c:pt>
                <c:pt idx="8">
                  <c:v>72.400000000000006</c:v>
                </c:pt>
                <c:pt idx="9">
                  <c:v>60.1</c:v>
                </c:pt>
                <c:pt idx="10">
                  <c:v>73.7</c:v>
                </c:pt>
                <c:pt idx="11">
                  <c:v>66.900000000000006</c:v>
                </c:pt>
                <c:pt idx="12">
                  <c:v>65</c:v>
                </c:pt>
                <c:pt idx="13">
                  <c:v>67</c:v>
                </c:pt>
                <c:pt idx="14">
                  <c:v>63.6</c:v>
                </c:pt>
                <c:pt idx="15">
                  <c:v>67.5</c:v>
                </c:pt>
                <c:pt idx="16">
                  <c:v>81.099999999999994</c:v>
                </c:pt>
                <c:pt idx="17">
                  <c:v>77.900000000000006</c:v>
                </c:pt>
                <c:pt idx="18">
                  <c:v>74.7</c:v>
                </c:pt>
                <c:pt idx="19">
                  <c:v>67.099999999999994</c:v>
                </c:pt>
                <c:pt idx="20">
                  <c:v>71.5</c:v>
                </c:pt>
                <c:pt idx="21">
                  <c:v>72.7</c:v>
                </c:pt>
                <c:pt idx="22">
                  <c:v>70.099999999999994</c:v>
                </c:pt>
                <c:pt idx="23">
                  <c:v>65.2</c:v>
                </c:pt>
                <c:pt idx="24">
                  <c:v>75.599999999999994</c:v>
                </c:pt>
                <c:pt idx="25">
                  <c:v>45.4</c:v>
                </c:pt>
                <c:pt idx="26">
                  <c:v>51</c:v>
                </c:pt>
                <c:pt idx="27">
                  <c:v>58</c:v>
                </c:pt>
                <c:pt idx="28">
                  <c:v>53.7</c:v>
                </c:pt>
                <c:pt idx="29">
                  <c:v>40.200000000000003</c:v>
                </c:pt>
                <c:pt idx="30">
                  <c:v>54</c:v>
                </c:pt>
                <c:pt idx="31">
                  <c:v>58</c:v>
                </c:pt>
                <c:pt idx="32">
                  <c:v>40.799999999999997</c:v>
                </c:pt>
                <c:pt idx="33">
                  <c:v>47.7</c:v>
                </c:pt>
                <c:pt idx="34">
                  <c:v>50</c:v>
                </c:pt>
                <c:pt idx="35">
                  <c:v>45</c:v>
                </c:pt>
                <c:pt idx="36">
                  <c:v>47.7</c:v>
                </c:pt>
                <c:pt idx="37">
                  <c:v>65</c:v>
                </c:pt>
                <c:pt idx="38">
                  <c:v>53.2</c:v>
                </c:pt>
                <c:pt idx="39">
                  <c:v>46.9</c:v>
                </c:pt>
                <c:pt idx="40">
                  <c:v>50.5</c:v>
                </c:pt>
                <c:pt idx="41">
                  <c:v>53.2</c:v>
                </c:pt>
                <c:pt idx="42">
                  <c:v>51.1</c:v>
                </c:pt>
                <c:pt idx="43">
                  <c:v>46.4</c:v>
                </c:pt>
                <c:pt idx="44">
                  <c:v>50</c:v>
                </c:pt>
                <c:pt idx="45">
                  <c:v>53</c:v>
                </c:pt>
                <c:pt idx="46">
                  <c:v>55</c:v>
                </c:pt>
                <c:pt idx="47">
                  <c:v>60</c:v>
                </c:pt>
                <c:pt idx="48">
                  <c:v>50</c:v>
                </c:pt>
                <c:pt idx="49">
                  <c:v>52</c:v>
                </c:pt>
                <c:pt idx="50">
                  <c:v>60.205999999999996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1-DA40-907C-2FCE74FCF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09375"/>
        <c:axId val="204106687"/>
      </c:scatterChart>
      <c:valAx>
        <c:axId val="204109375"/>
        <c:scaling>
          <c:orientation val="minMax"/>
          <c:min val="1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身高 </a:t>
                </a:r>
                <a:r>
                  <a:rPr lang="en-US" altLang="zh-CN"/>
                  <a:t>(</a:t>
                </a:r>
                <a:r>
                  <a:rPr lang="en-US"/>
                  <a:t>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04106687"/>
        <c:crosses val="autoZero"/>
        <c:crossBetween val="midCat"/>
      </c:valAx>
      <c:valAx>
        <c:axId val="20410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体重 </a:t>
                </a:r>
                <a:r>
                  <a:rPr lang="en-US" altLang="zh-CN"/>
                  <a:t>(</a:t>
                </a:r>
                <a:r>
                  <a:rPr lang="en-US"/>
                  <a:t>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04109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'身高-体重分析'!$D$1</c:f>
              <c:strCache>
                <c:ptCount val="1"/>
                <c:pt idx="0">
                  <c:v>身高（in)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'身高-体重分析'!$D$2:$D$51</c:f>
              <c:numCache>
                <c:formatCode>General</c:formatCode>
                <c:ptCount val="50"/>
                <c:pt idx="0">
                  <c:v>70.984251968503941</c:v>
                </c:pt>
                <c:pt idx="1">
                  <c:v>69.055118110236222</c:v>
                </c:pt>
                <c:pt idx="2">
                  <c:v>65.590551181102356</c:v>
                </c:pt>
                <c:pt idx="3">
                  <c:v>66.811023622047244</c:v>
                </c:pt>
                <c:pt idx="4">
                  <c:v>71.181102362204726</c:v>
                </c:pt>
                <c:pt idx="5">
                  <c:v>66.574803149606296</c:v>
                </c:pt>
                <c:pt idx="6">
                  <c:v>72.71653543307086</c:v>
                </c:pt>
                <c:pt idx="7">
                  <c:v>67.28346456692914</c:v>
                </c:pt>
                <c:pt idx="8">
                  <c:v>70.433070866141733</c:v>
                </c:pt>
                <c:pt idx="9">
                  <c:v>69.133858267716533</c:v>
                </c:pt>
                <c:pt idx="10">
                  <c:v>71.456692913385822</c:v>
                </c:pt>
                <c:pt idx="11">
                  <c:v>71.653543307086608</c:v>
                </c:pt>
                <c:pt idx="12">
                  <c:v>66.338582677165348</c:v>
                </c:pt>
                <c:pt idx="13">
                  <c:v>70.275590551181097</c:v>
                </c:pt>
                <c:pt idx="14">
                  <c:v>68.346456692913378</c:v>
                </c:pt>
                <c:pt idx="15">
                  <c:v>70.393700787401585</c:v>
                </c:pt>
                <c:pt idx="16">
                  <c:v>73.346456692913392</c:v>
                </c:pt>
                <c:pt idx="17">
                  <c:v>70</c:v>
                </c:pt>
                <c:pt idx="18">
                  <c:v>71.850393700787407</c:v>
                </c:pt>
                <c:pt idx="19">
                  <c:v>68.582677165354326</c:v>
                </c:pt>
                <c:pt idx="20">
                  <c:v>66.456692913385837</c:v>
                </c:pt>
                <c:pt idx="21">
                  <c:v>69.173228346456682</c:v>
                </c:pt>
                <c:pt idx="22">
                  <c:v>69.606299212598429</c:v>
                </c:pt>
                <c:pt idx="23">
                  <c:v>65.078740157480325</c:v>
                </c:pt>
                <c:pt idx="24">
                  <c:v>72.244094488188978</c:v>
                </c:pt>
                <c:pt idx="25">
                  <c:v>61.417322834645667</c:v>
                </c:pt>
                <c:pt idx="26">
                  <c:v>63.346456692913385</c:v>
                </c:pt>
                <c:pt idx="27">
                  <c:v>64.921259842519689</c:v>
                </c:pt>
                <c:pt idx="28">
                  <c:v>65.984251968503941</c:v>
                </c:pt>
                <c:pt idx="29">
                  <c:v>59.251968503937007</c:v>
                </c:pt>
                <c:pt idx="30">
                  <c:v>63.30708661417323</c:v>
                </c:pt>
                <c:pt idx="31">
                  <c:v>64.212598425196845</c:v>
                </c:pt>
                <c:pt idx="32">
                  <c:v>61.732283464566933</c:v>
                </c:pt>
                <c:pt idx="33">
                  <c:v>63.582677165354333</c:v>
                </c:pt>
                <c:pt idx="34">
                  <c:v>63.543307086614178</c:v>
                </c:pt>
                <c:pt idx="35">
                  <c:v>62.401574803149607</c:v>
                </c:pt>
                <c:pt idx="36">
                  <c:v>60.787401574803148</c:v>
                </c:pt>
                <c:pt idx="37">
                  <c:v>62.637795275590548</c:v>
                </c:pt>
                <c:pt idx="38">
                  <c:v>66.456692913385837</c:v>
                </c:pt>
                <c:pt idx="39">
                  <c:v>62.716535433070867</c:v>
                </c:pt>
                <c:pt idx="40">
                  <c:v>63.543307086614178</c:v>
                </c:pt>
                <c:pt idx="41">
                  <c:v>62.677165354330704</c:v>
                </c:pt>
                <c:pt idx="42">
                  <c:v>67.00787401574803</c:v>
                </c:pt>
                <c:pt idx="43">
                  <c:v>64.40944881889763</c:v>
                </c:pt>
                <c:pt idx="44">
                  <c:v>65</c:v>
                </c:pt>
                <c:pt idx="45">
                  <c:v>65.275590551181111</c:v>
                </c:pt>
                <c:pt idx="46">
                  <c:v>63.228346456692911</c:v>
                </c:pt>
                <c:pt idx="47">
                  <c:v>68.503937007874015</c:v>
                </c:pt>
                <c:pt idx="48">
                  <c:v>63.85826771653543</c:v>
                </c:pt>
                <c:pt idx="49">
                  <c:v>67.637795275590548</c:v>
                </c:pt>
              </c:numCache>
            </c:numRef>
          </c:xVal>
          <c:yVal>
            <c:numRef>
              <c:f>'身高-体重分析'!$C$2:$C$51</c:f>
              <c:numCache>
                <c:formatCode>General</c:formatCode>
                <c:ptCount val="50"/>
                <c:pt idx="0">
                  <c:v>70.900000000000006</c:v>
                </c:pt>
                <c:pt idx="1">
                  <c:v>63.3</c:v>
                </c:pt>
                <c:pt idx="2">
                  <c:v>60.3</c:v>
                </c:pt>
                <c:pt idx="3">
                  <c:v>69.099999999999994</c:v>
                </c:pt>
                <c:pt idx="4">
                  <c:v>75.8</c:v>
                </c:pt>
                <c:pt idx="5">
                  <c:v>55.2</c:v>
                </c:pt>
                <c:pt idx="6">
                  <c:v>78.400000000000006</c:v>
                </c:pt>
                <c:pt idx="7">
                  <c:v>67.400000000000006</c:v>
                </c:pt>
                <c:pt idx="8">
                  <c:v>72.400000000000006</c:v>
                </c:pt>
                <c:pt idx="9">
                  <c:v>60.1</c:v>
                </c:pt>
                <c:pt idx="10">
                  <c:v>73.7</c:v>
                </c:pt>
                <c:pt idx="11">
                  <c:v>66.900000000000006</c:v>
                </c:pt>
                <c:pt idx="12">
                  <c:v>65</c:v>
                </c:pt>
                <c:pt idx="13">
                  <c:v>67</c:v>
                </c:pt>
                <c:pt idx="14">
                  <c:v>63.6</c:v>
                </c:pt>
                <c:pt idx="15">
                  <c:v>67.5</c:v>
                </c:pt>
                <c:pt idx="16">
                  <c:v>81.099999999999994</c:v>
                </c:pt>
                <c:pt idx="17">
                  <c:v>77.900000000000006</c:v>
                </c:pt>
                <c:pt idx="18">
                  <c:v>74.7</c:v>
                </c:pt>
                <c:pt idx="19">
                  <c:v>67.099999999999994</c:v>
                </c:pt>
                <c:pt idx="20">
                  <c:v>71.5</c:v>
                </c:pt>
                <c:pt idx="21">
                  <c:v>72.7</c:v>
                </c:pt>
                <c:pt idx="22">
                  <c:v>70.099999999999994</c:v>
                </c:pt>
                <c:pt idx="23">
                  <c:v>65.2</c:v>
                </c:pt>
                <c:pt idx="24">
                  <c:v>75.599999999999994</c:v>
                </c:pt>
                <c:pt idx="25">
                  <c:v>45.4</c:v>
                </c:pt>
                <c:pt idx="26">
                  <c:v>51</c:v>
                </c:pt>
                <c:pt idx="27">
                  <c:v>58</c:v>
                </c:pt>
                <c:pt idx="28">
                  <c:v>53.7</c:v>
                </c:pt>
                <c:pt idx="29">
                  <c:v>40.200000000000003</c:v>
                </c:pt>
                <c:pt idx="30">
                  <c:v>54</c:v>
                </c:pt>
                <c:pt idx="31">
                  <c:v>58</c:v>
                </c:pt>
                <c:pt idx="32">
                  <c:v>40.799999999999997</c:v>
                </c:pt>
                <c:pt idx="33">
                  <c:v>47.7</c:v>
                </c:pt>
                <c:pt idx="34">
                  <c:v>50</c:v>
                </c:pt>
                <c:pt idx="35">
                  <c:v>45</c:v>
                </c:pt>
                <c:pt idx="36">
                  <c:v>47.7</c:v>
                </c:pt>
                <c:pt idx="37">
                  <c:v>65</c:v>
                </c:pt>
                <c:pt idx="38">
                  <c:v>53.2</c:v>
                </c:pt>
                <c:pt idx="39">
                  <c:v>46.9</c:v>
                </c:pt>
                <c:pt idx="40">
                  <c:v>50.5</c:v>
                </c:pt>
                <c:pt idx="41">
                  <c:v>53.2</c:v>
                </c:pt>
                <c:pt idx="42">
                  <c:v>51.1</c:v>
                </c:pt>
                <c:pt idx="43">
                  <c:v>46.4</c:v>
                </c:pt>
                <c:pt idx="44">
                  <c:v>50</c:v>
                </c:pt>
                <c:pt idx="45">
                  <c:v>53</c:v>
                </c:pt>
                <c:pt idx="46">
                  <c:v>55</c:v>
                </c:pt>
                <c:pt idx="47">
                  <c:v>60</c:v>
                </c:pt>
                <c:pt idx="48">
                  <c:v>50</c:v>
                </c:pt>
                <c:pt idx="49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9C-3940-BD11-D86E229EE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14431"/>
        <c:axId val="146702783"/>
      </c:scatterChart>
      <c:valAx>
        <c:axId val="146714431"/>
        <c:scaling>
          <c:orientation val="minMax"/>
          <c:min val="5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身高（</a:t>
                </a:r>
                <a:r>
                  <a:rPr lang="en-US"/>
                  <a:t>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46702783"/>
        <c:crosses val="autoZero"/>
        <c:crossBetween val="midCat"/>
      </c:valAx>
      <c:valAx>
        <c:axId val="14670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体重 </a:t>
                </a:r>
                <a:r>
                  <a:rPr lang="en-US" altLang="zh-CN"/>
                  <a:t>(</a:t>
                </a:r>
                <a:r>
                  <a:rPr lang="en-US"/>
                  <a:t>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46714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'身高-体重分析'!$B$2:$B$51</c:f>
              <c:numCache>
                <c:formatCode>General</c:formatCode>
                <c:ptCount val="50"/>
                <c:pt idx="0">
                  <c:v>180.3</c:v>
                </c:pt>
                <c:pt idx="1">
                  <c:v>175.4</c:v>
                </c:pt>
                <c:pt idx="2">
                  <c:v>166.6</c:v>
                </c:pt>
                <c:pt idx="3">
                  <c:v>169.7</c:v>
                </c:pt>
                <c:pt idx="4">
                  <c:v>180.8</c:v>
                </c:pt>
                <c:pt idx="5">
                  <c:v>169.1</c:v>
                </c:pt>
                <c:pt idx="6">
                  <c:v>184.7</c:v>
                </c:pt>
                <c:pt idx="7">
                  <c:v>170.9</c:v>
                </c:pt>
                <c:pt idx="8">
                  <c:v>178.9</c:v>
                </c:pt>
                <c:pt idx="9">
                  <c:v>175.6</c:v>
                </c:pt>
                <c:pt idx="10">
                  <c:v>181.5</c:v>
                </c:pt>
                <c:pt idx="11">
                  <c:v>182</c:v>
                </c:pt>
                <c:pt idx="12">
                  <c:v>168.5</c:v>
                </c:pt>
                <c:pt idx="13">
                  <c:v>178.5</c:v>
                </c:pt>
                <c:pt idx="14">
                  <c:v>173.6</c:v>
                </c:pt>
                <c:pt idx="15">
                  <c:v>178.8</c:v>
                </c:pt>
                <c:pt idx="16">
                  <c:v>186.3</c:v>
                </c:pt>
                <c:pt idx="17">
                  <c:v>177.8</c:v>
                </c:pt>
                <c:pt idx="18">
                  <c:v>182.5</c:v>
                </c:pt>
                <c:pt idx="19">
                  <c:v>174.2</c:v>
                </c:pt>
                <c:pt idx="20">
                  <c:v>168.8</c:v>
                </c:pt>
                <c:pt idx="21">
                  <c:v>175.7</c:v>
                </c:pt>
                <c:pt idx="22">
                  <c:v>176.8</c:v>
                </c:pt>
                <c:pt idx="23">
                  <c:v>165.3</c:v>
                </c:pt>
                <c:pt idx="24">
                  <c:v>183.5</c:v>
                </c:pt>
                <c:pt idx="25">
                  <c:v>156</c:v>
                </c:pt>
                <c:pt idx="26">
                  <c:v>160.9</c:v>
                </c:pt>
                <c:pt idx="27">
                  <c:v>164.9</c:v>
                </c:pt>
                <c:pt idx="28">
                  <c:v>167.6</c:v>
                </c:pt>
                <c:pt idx="29">
                  <c:v>150.5</c:v>
                </c:pt>
                <c:pt idx="30">
                  <c:v>160.80000000000001</c:v>
                </c:pt>
                <c:pt idx="31">
                  <c:v>163.1</c:v>
                </c:pt>
                <c:pt idx="32">
                  <c:v>156.80000000000001</c:v>
                </c:pt>
                <c:pt idx="33">
                  <c:v>161.5</c:v>
                </c:pt>
                <c:pt idx="34">
                  <c:v>161.4</c:v>
                </c:pt>
                <c:pt idx="35">
                  <c:v>158.5</c:v>
                </c:pt>
                <c:pt idx="36">
                  <c:v>154.4</c:v>
                </c:pt>
                <c:pt idx="37">
                  <c:v>159.1</c:v>
                </c:pt>
                <c:pt idx="38">
                  <c:v>168.8</c:v>
                </c:pt>
                <c:pt idx="39">
                  <c:v>159.30000000000001</c:v>
                </c:pt>
                <c:pt idx="40">
                  <c:v>161.4</c:v>
                </c:pt>
                <c:pt idx="41">
                  <c:v>159.19999999999999</c:v>
                </c:pt>
                <c:pt idx="42">
                  <c:v>170.2</c:v>
                </c:pt>
                <c:pt idx="43">
                  <c:v>163.6</c:v>
                </c:pt>
                <c:pt idx="44">
                  <c:v>165.1</c:v>
                </c:pt>
                <c:pt idx="45">
                  <c:v>165.8</c:v>
                </c:pt>
                <c:pt idx="46">
                  <c:v>160.6</c:v>
                </c:pt>
                <c:pt idx="47">
                  <c:v>174</c:v>
                </c:pt>
                <c:pt idx="48">
                  <c:v>162.19999999999999</c:v>
                </c:pt>
                <c:pt idx="49">
                  <c:v>171.8</c:v>
                </c:pt>
              </c:numCache>
            </c:numRef>
          </c:xVal>
          <c:yVal>
            <c:numRef>
              <c:f>'身高-体重分析'!$E$2:$E$51</c:f>
              <c:numCache>
                <c:formatCode>General</c:formatCode>
                <c:ptCount val="50"/>
                <c:pt idx="0">
                  <c:v>156.33450000000002</c:v>
                </c:pt>
                <c:pt idx="1">
                  <c:v>139.57650000000001</c:v>
                </c:pt>
                <c:pt idx="2">
                  <c:v>132.9615</c:v>
                </c:pt>
                <c:pt idx="3">
                  <c:v>152.3655</c:v>
                </c:pt>
                <c:pt idx="4">
                  <c:v>167.13900000000001</c:v>
                </c:pt>
                <c:pt idx="5">
                  <c:v>121.71600000000001</c:v>
                </c:pt>
                <c:pt idx="6">
                  <c:v>172.87200000000001</c:v>
                </c:pt>
                <c:pt idx="7">
                  <c:v>148.61700000000002</c:v>
                </c:pt>
                <c:pt idx="8">
                  <c:v>159.64200000000002</c:v>
                </c:pt>
                <c:pt idx="9">
                  <c:v>132.5205</c:v>
                </c:pt>
                <c:pt idx="10">
                  <c:v>162.5085</c:v>
                </c:pt>
                <c:pt idx="11">
                  <c:v>147.51450000000003</c:v>
                </c:pt>
                <c:pt idx="12">
                  <c:v>143.32500000000002</c:v>
                </c:pt>
                <c:pt idx="13">
                  <c:v>147.73500000000001</c:v>
                </c:pt>
                <c:pt idx="14">
                  <c:v>140.238</c:v>
                </c:pt>
                <c:pt idx="15">
                  <c:v>148.83750000000001</c:v>
                </c:pt>
                <c:pt idx="16">
                  <c:v>178.82550000000001</c:v>
                </c:pt>
                <c:pt idx="17">
                  <c:v>171.76950000000002</c:v>
                </c:pt>
                <c:pt idx="18">
                  <c:v>164.71350000000001</c:v>
                </c:pt>
                <c:pt idx="19">
                  <c:v>147.9555</c:v>
                </c:pt>
                <c:pt idx="20">
                  <c:v>157.6575</c:v>
                </c:pt>
                <c:pt idx="21">
                  <c:v>160.30350000000001</c:v>
                </c:pt>
                <c:pt idx="22">
                  <c:v>154.57049999999998</c:v>
                </c:pt>
                <c:pt idx="23">
                  <c:v>143.76600000000002</c:v>
                </c:pt>
                <c:pt idx="24">
                  <c:v>166.69799999999998</c:v>
                </c:pt>
                <c:pt idx="25">
                  <c:v>100.107</c:v>
                </c:pt>
                <c:pt idx="26">
                  <c:v>112.455</c:v>
                </c:pt>
                <c:pt idx="27">
                  <c:v>127.89</c:v>
                </c:pt>
                <c:pt idx="28">
                  <c:v>118.4085</c:v>
                </c:pt>
                <c:pt idx="29">
                  <c:v>88.641000000000005</c:v>
                </c:pt>
                <c:pt idx="30">
                  <c:v>119.07000000000001</c:v>
                </c:pt>
                <c:pt idx="31">
                  <c:v>127.89</c:v>
                </c:pt>
                <c:pt idx="32">
                  <c:v>89.963999999999999</c:v>
                </c:pt>
                <c:pt idx="33">
                  <c:v>105.17850000000001</c:v>
                </c:pt>
                <c:pt idx="34">
                  <c:v>110.25</c:v>
                </c:pt>
                <c:pt idx="35">
                  <c:v>99.225000000000009</c:v>
                </c:pt>
                <c:pt idx="36">
                  <c:v>105.17850000000001</c:v>
                </c:pt>
                <c:pt idx="37">
                  <c:v>143.32500000000002</c:v>
                </c:pt>
                <c:pt idx="38">
                  <c:v>117.30600000000001</c:v>
                </c:pt>
                <c:pt idx="39">
                  <c:v>103.4145</c:v>
                </c:pt>
                <c:pt idx="40">
                  <c:v>111.35250000000001</c:v>
                </c:pt>
                <c:pt idx="41">
                  <c:v>117.30600000000001</c:v>
                </c:pt>
                <c:pt idx="42">
                  <c:v>112.67550000000001</c:v>
                </c:pt>
                <c:pt idx="43">
                  <c:v>102.312</c:v>
                </c:pt>
                <c:pt idx="44">
                  <c:v>110.25</c:v>
                </c:pt>
                <c:pt idx="45">
                  <c:v>116.86500000000001</c:v>
                </c:pt>
                <c:pt idx="46">
                  <c:v>121.27500000000001</c:v>
                </c:pt>
                <c:pt idx="47">
                  <c:v>132.30000000000001</c:v>
                </c:pt>
                <c:pt idx="48">
                  <c:v>110.25</c:v>
                </c:pt>
                <c:pt idx="49">
                  <c:v>114.66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FD-AB47-91BC-F7DFE28D3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519103"/>
        <c:axId val="136030719"/>
      </c:scatterChart>
      <c:valAx>
        <c:axId val="150519103"/>
        <c:scaling>
          <c:orientation val="minMax"/>
          <c:min val="1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身高(cm)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36030719"/>
        <c:crosses val="autoZero"/>
        <c:crossBetween val="midCat"/>
      </c:valAx>
      <c:valAx>
        <c:axId val="13603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体重（</a:t>
                </a:r>
                <a:r>
                  <a:rPr lang="en-US"/>
                  <a:t>lb)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50519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'身高-体重分析'!$D$2:$D$51</c:f>
              <c:numCache>
                <c:formatCode>General</c:formatCode>
                <c:ptCount val="50"/>
                <c:pt idx="0">
                  <c:v>70.984251968503941</c:v>
                </c:pt>
                <c:pt idx="1">
                  <c:v>69.055118110236222</c:v>
                </c:pt>
                <c:pt idx="2">
                  <c:v>65.590551181102356</c:v>
                </c:pt>
                <c:pt idx="3">
                  <c:v>66.811023622047244</c:v>
                </c:pt>
                <c:pt idx="4">
                  <c:v>71.181102362204726</c:v>
                </c:pt>
                <c:pt idx="5">
                  <c:v>66.574803149606296</c:v>
                </c:pt>
                <c:pt idx="6">
                  <c:v>72.71653543307086</c:v>
                </c:pt>
                <c:pt idx="7">
                  <c:v>67.28346456692914</c:v>
                </c:pt>
                <c:pt idx="8">
                  <c:v>70.433070866141733</c:v>
                </c:pt>
                <c:pt idx="9">
                  <c:v>69.133858267716533</c:v>
                </c:pt>
                <c:pt idx="10">
                  <c:v>71.456692913385822</c:v>
                </c:pt>
                <c:pt idx="11">
                  <c:v>71.653543307086608</c:v>
                </c:pt>
                <c:pt idx="12">
                  <c:v>66.338582677165348</c:v>
                </c:pt>
                <c:pt idx="13">
                  <c:v>70.275590551181097</c:v>
                </c:pt>
                <c:pt idx="14">
                  <c:v>68.346456692913378</c:v>
                </c:pt>
                <c:pt idx="15">
                  <c:v>70.393700787401585</c:v>
                </c:pt>
                <c:pt idx="16">
                  <c:v>73.346456692913392</c:v>
                </c:pt>
                <c:pt idx="17">
                  <c:v>70</c:v>
                </c:pt>
                <c:pt idx="18">
                  <c:v>71.850393700787407</c:v>
                </c:pt>
                <c:pt idx="19">
                  <c:v>68.582677165354326</c:v>
                </c:pt>
                <c:pt idx="20">
                  <c:v>66.456692913385837</c:v>
                </c:pt>
                <c:pt idx="21">
                  <c:v>69.173228346456682</c:v>
                </c:pt>
                <c:pt idx="22">
                  <c:v>69.606299212598429</c:v>
                </c:pt>
                <c:pt idx="23">
                  <c:v>65.078740157480325</c:v>
                </c:pt>
                <c:pt idx="24">
                  <c:v>72.244094488188978</c:v>
                </c:pt>
                <c:pt idx="25">
                  <c:v>61.417322834645667</c:v>
                </c:pt>
                <c:pt idx="26">
                  <c:v>63.346456692913385</c:v>
                </c:pt>
                <c:pt idx="27">
                  <c:v>64.921259842519689</c:v>
                </c:pt>
                <c:pt idx="28">
                  <c:v>65.984251968503941</c:v>
                </c:pt>
                <c:pt idx="29">
                  <c:v>59.251968503937007</c:v>
                </c:pt>
                <c:pt idx="30">
                  <c:v>63.30708661417323</c:v>
                </c:pt>
                <c:pt idx="31">
                  <c:v>64.212598425196845</c:v>
                </c:pt>
                <c:pt idx="32">
                  <c:v>61.732283464566933</c:v>
                </c:pt>
                <c:pt idx="33">
                  <c:v>63.582677165354333</c:v>
                </c:pt>
                <c:pt idx="34">
                  <c:v>63.543307086614178</c:v>
                </c:pt>
                <c:pt idx="35">
                  <c:v>62.401574803149607</c:v>
                </c:pt>
                <c:pt idx="36">
                  <c:v>60.787401574803148</c:v>
                </c:pt>
                <c:pt idx="37">
                  <c:v>62.637795275590548</c:v>
                </c:pt>
                <c:pt idx="38">
                  <c:v>66.456692913385837</c:v>
                </c:pt>
                <c:pt idx="39">
                  <c:v>62.716535433070867</c:v>
                </c:pt>
                <c:pt idx="40">
                  <c:v>63.543307086614178</c:v>
                </c:pt>
                <c:pt idx="41">
                  <c:v>62.677165354330704</c:v>
                </c:pt>
                <c:pt idx="42">
                  <c:v>67.00787401574803</c:v>
                </c:pt>
                <c:pt idx="43">
                  <c:v>64.40944881889763</c:v>
                </c:pt>
                <c:pt idx="44">
                  <c:v>65</c:v>
                </c:pt>
                <c:pt idx="45">
                  <c:v>65.275590551181111</c:v>
                </c:pt>
                <c:pt idx="46">
                  <c:v>63.228346456692911</c:v>
                </c:pt>
                <c:pt idx="47">
                  <c:v>68.503937007874015</c:v>
                </c:pt>
                <c:pt idx="48">
                  <c:v>63.85826771653543</c:v>
                </c:pt>
                <c:pt idx="49">
                  <c:v>67.637795275590548</c:v>
                </c:pt>
              </c:numCache>
            </c:numRef>
          </c:xVal>
          <c:yVal>
            <c:numRef>
              <c:f>'身高-体重分析'!$E$2:$E$51</c:f>
              <c:numCache>
                <c:formatCode>General</c:formatCode>
                <c:ptCount val="50"/>
                <c:pt idx="0">
                  <c:v>156.33450000000002</c:v>
                </c:pt>
                <c:pt idx="1">
                  <c:v>139.57650000000001</c:v>
                </c:pt>
                <c:pt idx="2">
                  <c:v>132.9615</c:v>
                </c:pt>
                <c:pt idx="3">
                  <c:v>152.3655</c:v>
                </c:pt>
                <c:pt idx="4">
                  <c:v>167.13900000000001</c:v>
                </c:pt>
                <c:pt idx="5">
                  <c:v>121.71600000000001</c:v>
                </c:pt>
                <c:pt idx="6">
                  <c:v>172.87200000000001</c:v>
                </c:pt>
                <c:pt idx="7">
                  <c:v>148.61700000000002</c:v>
                </c:pt>
                <c:pt idx="8">
                  <c:v>159.64200000000002</c:v>
                </c:pt>
                <c:pt idx="9">
                  <c:v>132.5205</c:v>
                </c:pt>
                <c:pt idx="10">
                  <c:v>162.5085</c:v>
                </c:pt>
                <c:pt idx="11">
                  <c:v>147.51450000000003</c:v>
                </c:pt>
                <c:pt idx="12">
                  <c:v>143.32500000000002</c:v>
                </c:pt>
                <c:pt idx="13">
                  <c:v>147.73500000000001</c:v>
                </c:pt>
                <c:pt idx="14">
                  <c:v>140.238</c:v>
                </c:pt>
                <c:pt idx="15">
                  <c:v>148.83750000000001</c:v>
                </c:pt>
                <c:pt idx="16">
                  <c:v>178.82550000000001</c:v>
                </c:pt>
                <c:pt idx="17">
                  <c:v>171.76950000000002</c:v>
                </c:pt>
                <c:pt idx="18">
                  <c:v>164.71350000000001</c:v>
                </c:pt>
                <c:pt idx="19">
                  <c:v>147.9555</c:v>
                </c:pt>
                <c:pt idx="20">
                  <c:v>157.6575</c:v>
                </c:pt>
                <c:pt idx="21">
                  <c:v>160.30350000000001</c:v>
                </c:pt>
                <c:pt idx="22">
                  <c:v>154.57049999999998</c:v>
                </c:pt>
                <c:pt idx="23">
                  <c:v>143.76600000000002</c:v>
                </c:pt>
                <c:pt idx="24">
                  <c:v>166.69799999999998</c:v>
                </c:pt>
                <c:pt idx="25">
                  <c:v>100.107</c:v>
                </c:pt>
                <c:pt idx="26">
                  <c:v>112.455</c:v>
                </c:pt>
                <c:pt idx="27">
                  <c:v>127.89</c:v>
                </c:pt>
                <c:pt idx="28">
                  <c:v>118.4085</c:v>
                </c:pt>
                <c:pt idx="29">
                  <c:v>88.641000000000005</c:v>
                </c:pt>
                <c:pt idx="30">
                  <c:v>119.07000000000001</c:v>
                </c:pt>
                <c:pt idx="31">
                  <c:v>127.89</c:v>
                </c:pt>
                <c:pt idx="32">
                  <c:v>89.963999999999999</c:v>
                </c:pt>
                <c:pt idx="33">
                  <c:v>105.17850000000001</c:v>
                </c:pt>
                <c:pt idx="34">
                  <c:v>110.25</c:v>
                </c:pt>
                <c:pt idx="35">
                  <c:v>99.225000000000009</c:v>
                </c:pt>
                <c:pt idx="36">
                  <c:v>105.17850000000001</c:v>
                </c:pt>
                <c:pt idx="37">
                  <c:v>143.32500000000002</c:v>
                </c:pt>
                <c:pt idx="38">
                  <c:v>117.30600000000001</c:v>
                </c:pt>
                <c:pt idx="39">
                  <c:v>103.4145</c:v>
                </c:pt>
                <c:pt idx="40">
                  <c:v>111.35250000000001</c:v>
                </c:pt>
                <c:pt idx="41">
                  <c:v>117.30600000000001</c:v>
                </c:pt>
                <c:pt idx="42">
                  <c:v>112.67550000000001</c:v>
                </c:pt>
                <c:pt idx="43">
                  <c:v>102.312</c:v>
                </c:pt>
                <c:pt idx="44">
                  <c:v>110.25</c:v>
                </c:pt>
                <c:pt idx="45">
                  <c:v>116.86500000000001</c:v>
                </c:pt>
                <c:pt idx="46">
                  <c:v>121.27500000000001</c:v>
                </c:pt>
                <c:pt idx="47">
                  <c:v>132.30000000000001</c:v>
                </c:pt>
                <c:pt idx="48">
                  <c:v>110.25</c:v>
                </c:pt>
                <c:pt idx="49">
                  <c:v>114.66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6B-D943-BDC1-22C658D18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31839"/>
        <c:axId val="122003327"/>
      </c:scatterChart>
      <c:valAx>
        <c:axId val="126331839"/>
        <c:scaling>
          <c:orientation val="minMax"/>
          <c:min val="5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身高（</a:t>
                </a:r>
                <a:r>
                  <a:rPr lang="en-US"/>
                  <a:t>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22003327"/>
        <c:crosses val="autoZero"/>
        <c:crossBetween val="midCat"/>
      </c:valAx>
      <c:valAx>
        <c:axId val="122003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体重（</a:t>
                </a:r>
                <a:r>
                  <a:rPr lang="en-US"/>
                  <a:t>lb)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2633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'身高-体重分析'!$F$2:$F$51</c:f>
              <c:numCache>
                <c:formatCode>General</c:formatCode>
                <c:ptCount val="50"/>
                <c:pt idx="0">
                  <c:v>1.2233011428679175</c:v>
                </c:pt>
                <c:pt idx="1">
                  <c:v>0.68005521210366082</c:v>
                </c:pt>
                <c:pt idx="2">
                  <c:v>-0.29557013294235102</c:v>
                </c:pt>
                <c:pt idx="3">
                  <c:v>4.8116068153402095E-2</c:v>
                </c:pt>
                <c:pt idx="4">
                  <c:v>1.2787344011091679</c:v>
                </c:pt>
                <c:pt idx="5">
                  <c:v>-1.8403841736097999E-2</c:v>
                </c:pt>
                <c:pt idx="6">
                  <c:v>1.7111138153909202</c:v>
                </c:pt>
                <c:pt idx="7">
                  <c:v>0.18115588793240545</c:v>
                </c:pt>
                <c:pt idx="8">
                  <c:v>1.0680880197924152</c:v>
                </c:pt>
                <c:pt idx="9">
                  <c:v>0.70222851540015985</c:v>
                </c:pt>
                <c:pt idx="10">
                  <c:v>1.3563409626469176</c:v>
                </c:pt>
                <c:pt idx="11">
                  <c:v>1.4117742208881683</c:v>
                </c:pt>
                <c:pt idx="12">
                  <c:v>-8.4923751625598093E-2</c:v>
                </c:pt>
                <c:pt idx="13">
                  <c:v>1.023741413199414</c:v>
                </c:pt>
                <c:pt idx="14">
                  <c:v>0.48049548243515744</c:v>
                </c:pt>
                <c:pt idx="15">
                  <c:v>1.0570013681441657</c:v>
                </c:pt>
                <c:pt idx="16">
                  <c:v>1.8885002417629246</c:v>
                </c:pt>
                <c:pt idx="17">
                  <c:v>0.94613485166166433</c:v>
                </c:pt>
                <c:pt idx="18">
                  <c:v>1.4672074791294187</c:v>
                </c:pt>
                <c:pt idx="19">
                  <c:v>0.54701539232465757</c:v>
                </c:pt>
                <c:pt idx="20">
                  <c:v>-5.1663796680846467E-2</c:v>
                </c:pt>
                <c:pt idx="21">
                  <c:v>0.71331516704840936</c:v>
                </c:pt>
                <c:pt idx="22">
                  <c:v>0.83526833517916321</c:v>
                </c:pt>
                <c:pt idx="23">
                  <c:v>-0.43969660436960067</c:v>
                </c:pt>
                <c:pt idx="24">
                  <c:v>1.5780739956119201</c:v>
                </c:pt>
                <c:pt idx="25">
                  <c:v>-1.4707552076568631</c:v>
                </c:pt>
                <c:pt idx="26">
                  <c:v>-0.92750927689260665</c:v>
                </c:pt>
                <c:pt idx="27">
                  <c:v>-0.48404321096260178</c:v>
                </c:pt>
                <c:pt idx="28">
                  <c:v>-0.18470361645984981</c:v>
                </c:pt>
                <c:pt idx="29">
                  <c:v>-2.08052104831062</c:v>
                </c:pt>
                <c:pt idx="30">
                  <c:v>-0.93859592854085616</c:v>
                </c:pt>
                <c:pt idx="31">
                  <c:v>-0.68360294063110527</c:v>
                </c:pt>
                <c:pt idx="32">
                  <c:v>-1.382061994470861</c:v>
                </c:pt>
                <c:pt idx="33">
                  <c:v>-0.86098936700310658</c:v>
                </c:pt>
                <c:pt idx="34">
                  <c:v>-0.87207601865135598</c:v>
                </c:pt>
                <c:pt idx="35">
                  <c:v>-1.1935889164506102</c:v>
                </c:pt>
                <c:pt idx="36">
                  <c:v>-1.6481416340288644</c:v>
                </c:pt>
                <c:pt idx="37">
                  <c:v>-1.12706900656111</c:v>
                </c:pt>
                <c:pt idx="38">
                  <c:v>-5.1663796680846467E-2</c:v>
                </c:pt>
                <c:pt idx="39">
                  <c:v>-1.1048957032646078</c:v>
                </c:pt>
                <c:pt idx="40">
                  <c:v>-0.87207601865135598</c:v>
                </c:pt>
                <c:pt idx="41">
                  <c:v>-1.1159823549128605</c:v>
                </c:pt>
                <c:pt idx="42">
                  <c:v>0.1035493263946527</c:v>
                </c:pt>
                <c:pt idx="43">
                  <c:v>-0.6281696823898546</c:v>
                </c:pt>
                <c:pt idx="44">
                  <c:v>-0.46186990766610281</c:v>
                </c:pt>
                <c:pt idx="45">
                  <c:v>-0.38426334612835011</c:v>
                </c:pt>
                <c:pt idx="46">
                  <c:v>-0.9607692318373583</c:v>
                </c:pt>
                <c:pt idx="47">
                  <c:v>0.52484208902815854</c:v>
                </c:pt>
                <c:pt idx="48">
                  <c:v>-0.78338280546535699</c:v>
                </c:pt>
                <c:pt idx="49">
                  <c:v>0.28093575276665717</c:v>
                </c:pt>
              </c:numCache>
            </c:numRef>
          </c:xVal>
          <c:yVal>
            <c:numRef>
              <c:f>'身高-体重分析'!$G$2:$G$51</c:f>
              <c:numCache>
                <c:formatCode>General</c:formatCode>
                <c:ptCount val="50"/>
                <c:pt idx="0">
                  <c:v>0.97835222248348708</c:v>
                </c:pt>
                <c:pt idx="1">
                  <c:v>0.28305795552308843</c:v>
                </c:pt>
                <c:pt idx="2">
                  <c:v>8.5996922492471359E-3</c:v>
                </c:pt>
                <c:pt idx="3">
                  <c:v>0.81367726451918132</c:v>
                </c:pt>
                <c:pt idx="4">
                  <c:v>1.426634052497427</c:v>
                </c:pt>
                <c:pt idx="5">
                  <c:v>-0.45797935531628253</c:v>
                </c:pt>
                <c:pt idx="6">
                  <c:v>1.6644978806680903</c:v>
                </c:pt>
                <c:pt idx="7">
                  <c:v>0.65815091533067227</c:v>
                </c:pt>
                <c:pt idx="8">
                  <c:v>1.1155813541204078</c:v>
                </c:pt>
                <c:pt idx="9">
                  <c:v>-9.6975253023418931E-3</c:v>
                </c:pt>
                <c:pt idx="10">
                  <c:v>1.2345132682057387</c:v>
                </c:pt>
                <c:pt idx="11">
                  <c:v>0.61240787145169873</c:v>
                </c:pt>
                <c:pt idx="12">
                  <c:v>0.43858430471159876</c:v>
                </c:pt>
                <c:pt idx="13">
                  <c:v>0.62155648022749288</c:v>
                </c:pt>
                <c:pt idx="14">
                  <c:v>0.31050378185047295</c:v>
                </c:pt>
                <c:pt idx="15">
                  <c:v>0.66729952410646642</c:v>
                </c:pt>
                <c:pt idx="16">
                  <c:v>1.9115103176145465</c:v>
                </c:pt>
                <c:pt idx="17">
                  <c:v>1.6187548367891167</c:v>
                </c:pt>
                <c:pt idx="18">
                  <c:v>1.3259993559636858</c:v>
                </c:pt>
                <c:pt idx="19">
                  <c:v>0.63070508900328714</c:v>
                </c:pt>
                <c:pt idx="20">
                  <c:v>1.0332438751382549</c:v>
                </c:pt>
                <c:pt idx="21">
                  <c:v>1.1430271804477916</c:v>
                </c:pt>
                <c:pt idx="22">
                  <c:v>0.90516335227712841</c:v>
                </c:pt>
                <c:pt idx="23">
                  <c:v>0.4568815222631884</c:v>
                </c:pt>
                <c:pt idx="24">
                  <c:v>1.4083368349458374</c:v>
                </c:pt>
                <c:pt idx="25">
                  <c:v>-1.3545430153441644</c:v>
                </c:pt>
                <c:pt idx="26">
                  <c:v>-0.84222092389966063</c:v>
                </c:pt>
                <c:pt idx="27">
                  <c:v>-0.20181830959403091</c:v>
                </c:pt>
                <c:pt idx="28">
                  <c:v>-0.59520848695320316</c:v>
                </c:pt>
                <c:pt idx="29">
                  <c:v>-1.8302706716854888</c:v>
                </c:pt>
                <c:pt idx="30">
                  <c:v>-0.56776266062581926</c:v>
                </c:pt>
                <c:pt idx="31">
                  <c:v>-0.20181830959403091</c:v>
                </c:pt>
                <c:pt idx="32">
                  <c:v>-1.7753790190307213</c:v>
                </c:pt>
                <c:pt idx="33">
                  <c:v>-1.1441250135008858</c:v>
                </c:pt>
                <c:pt idx="34">
                  <c:v>-0.93370701165760772</c:v>
                </c:pt>
                <c:pt idx="35">
                  <c:v>-1.391137450447343</c:v>
                </c:pt>
                <c:pt idx="36">
                  <c:v>-1.1441250135008858</c:v>
                </c:pt>
                <c:pt idx="37">
                  <c:v>0.43858430471159876</c:v>
                </c:pt>
                <c:pt idx="38">
                  <c:v>-0.64095153083217671</c:v>
                </c:pt>
                <c:pt idx="39">
                  <c:v>-1.2173138837072439</c:v>
                </c:pt>
                <c:pt idx="40">
                  <c:v>-0.88796396777863418</c:v>
                </c:pt>
                <c:pt idx="41">
                  <c:v>-0.64095153083217671</c:v>
                </c:pt>
                <c:pt idx="42">
                  <c:v>-0.8330723151238657</c:v>
                </c:pt>
                <c:pt idx="43">
                  <c:v>-1.2630569275862173</c:v>
                </c:pt>
                <c:pt idx="44">
                  <c:v>-0.93370701165760772</c:v>
                </c:pt>
                <c:pt idx="45">
                  <c:v>-0.65924874838376635</c:v>
                </c:pt>
                <c:pt idx="46">
                  <c:v>-0.47627657286787223</c:v>
                </c:pt>
                <c:pt idx="47">
                  <c:v>-1.8846134078136734E-2</c:v>
                </c:pt>
                <c:pt idx="48">
                  <c:v>-0.93370701165760772</c:v>
                </c:pt>
                <c:pt idx="49">
                  <c:v>-0.75073483614171355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C5-9147-887C-DEB3E7151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10719"/>
        <c:axId val="124053119"/>
      </c:scatterChart>
      <c:valAx>
        <c:axId val="20431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24053119"/>
        <c:crosses val="autoZero"/>
        <c:crossBetween val="midCat"/>
      </c:valAx>
      <c:valAx>
        <c:axId val="12405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0431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[1]Sheet1!$B$1</c:f>
              <c:strCache>
                <c:ptCount val="1"/>
                <c:pt idx="0">
                  <c:v>zy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7AC5-D54F-8B27-99397587575E}"/>
              </c:ext>
            </c:extLst>
          </c:dPt>
          <c:dPt>
            <c:idx val="1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AC5-D54F-8B27-99397587575E}"/>
              </c:ext>
            </c:extLst>
          </c:dPt>
          <c:dPt>
            <c:idx val="2"/>
            <c:marker>
              <c:symbol val="circle"/>
              <c:size val="8"/>
              <c:spPr>
                <a:solidFill>
                  <a:srgbClr val="ED7D3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7AC5-D54F-8B27-99397587575E}"/>
              </c:ext>
            </c:extLst>
          </c:dPt>
          <c:dPt>
            <c:idx val="3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7AC5-D54F-8B27-99397587575E}"/>
              </c:ext>
            </c:extLst>
          </c:dPt>
          <c:dPt>
            <c:idx val="4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7AC5-D54F-8B27-99397587575E}"/>
              </c:ext>
            </c:extLst>
          </c:dPt>
          <c:dPt>
            <c:idx val="5"/>
            <c:marker>
              <c:symbol val="circle"/>
              <c:size val="8"/>
              <c:spPr>
                <a:solidFill>
                  <a:srgbClr val="A569BD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7AC5-D54F-8B27-99397587575E}"/>
              </c:ext>
            </c:extLst>
          </c:dPt>
          <c:dPt>
            <c:idx val="6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7AC5-D54F-8B27-99397587575E}"/>
              </c:ext>
            </c:extLst>
          </c:dPt>
          <c:dPt>
            <c:idx val="7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7AC5-D54F-8B27-99397587575E}"/>
              </c:ext>
            </c:extLst>
          </c:dPt>
          <c:dPt>
            <c:idx val="8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7AC5-D54F-8B27-99397587575E}"/>
              </c:ext>
            </c:extLst>
          </c:dPt>
          <c:dPt>
            <c:idx val="9"/>
            <c:marker>
              <c:symbol val="circle"/>
              <c:size val="8"/>
              <c:spPr>
                <a:solidFill>
                  <a:srgbClr val="A569BD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7AC5-D54F-8B27-99397587575E}"/>
              </c:ext>
            </c:extLst>
          </c:dPt>
          <c:dPt>
            <c:idx val="10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7AC5-D54F-8B27-99397587575E}"/>
              </c:ext>
            </c:extLst>
          </c:dPt>
          <c:dPt>
            <c:idx val="11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7AC5-D54F-8B27-99397587575E}"/>
              </c:ext>
            </c:extLst>
          </c:dPt>
          <c:dPt>
            <c:idx val="12"/>
            <c:marker>
              <c:symbol val="circle"/>
              <c:size val="8"/>
              <c:spPr>
                <a:solidFill>
                  <a:srgbClr val="ED7D3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7AC5-D54F-8B27-99397587575E}"/>
              </c:ext>
            </c:extLst>
          </c:dPt>
          <c:dPt>
            <c:idx val="13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7AC5-D54F-8B27-99397587575E}"/>
              </c:ext>
            </c:extLst>
          </c:dPt>
          <c:dPt>
            <c:idx val="14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7AC5-D54F-8B27-99397587575E}"/>
              </c:ext>
            </c:extLst>
          </c:dPt>
          <c:dPt>
            <c:idx val="15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7AC5-D54F-8B27-99397587575E}"/>
              </c:ext>
            </c:extLst>
          </c:dPt>
          <c:dPt>
            <c:idx val="16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7AC5-D54F-8B27-99397587575E}"/>
              </c:ext>
            </c:extLst>
          </c:dPt>
          <c:dPt>
            <c:idx val="17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7AC5-D54F-8B27-99397587575E}"/>
              </c:ext>
            </c:extLst>
          </c:dPt>
          <c:dPt>
            <c:idx val="18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7AC5-D54F-8B27-99397587575E}"/>
              </c:ext>
            </c:extLst>
          </c:dPt>
          <c:dPt>
            <c:idx val="19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7AC5-D54F-8B27-99397587575E}"/>
              </c:ext>
            </c:extLst>
          </c:dPt>
          <c:dPt>
            <c:idx val="20"/>
            <c:marker>
              <c:symbol val="circle"/>
              <c:size val="8"/>
              <c:spPr>
                <a:solidFill>
                  <a:srgbClr val="ED7D3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7AC5-D54F-8B27-99397587575E}"/>
              </c:ext>
            </c:extLst>
          </c:dPt>
          <c:dPt>
            <c:idx val="21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7AC5-D54F-8B27-99397587575E}"/>
              </c:ext>
            </c:extLst>
          </c:dPt>
          <c:dPt>
            <c:idx val="22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7AC5-D54F-8B27-99397587575E}"/>
              </c:ext>
            </c:extLst>
          </c:dPt>
          <c:dPt>
            <c:idx val="23"/>
            <c:marker>
              <c:symbol val="circle"/>
              <c:size val="8"/>
              <c:spPr>
                <a:solidFill>
                  <a:srgbClr val="ED7D3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7AC5-D54F-8B27-99397587575E}"/>
              </c:ext>
            </c:extLst>
          </c:dPt>
          <c:dPt>
            <c:idx val="24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7AC5-D54F-8B27-99397587575E}"/>
              </c:ext>
            </c:extLst>
          </c:dPt>
          <c:dPt>
            <c:idx val="25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7AC5-D54F-8B27-99397587575E}"/>
              </c:ext>
            </c:extLst>
          </c:dPt>
          <c:dPt>
            <c:idx val="26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7AC5-D54F-8B27-99397587575E}"/>
              </c:ext>
            </c:extLst>
          </c:dPt>
          <c:dPt>
            <c:idx val="27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7AC5-D54F-8B27-99397587575E}"/>
              </c:ext>
            </c:extLst>
          </c:dPt>
          <c:dPt>
            <c:idx val="28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7AC5-D54F-8B27-99397587575E}"/>
              </c:ext>
            </c:extLst>
          </c:dPt>
          <c:dPt>
            <c:idx val="29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7AC5-D54F-8B27-99397587575E}"/>
              </c:ext>
            </c:extLst>
          </c:dPt>
          <c:dPt>
            <c:idx val="30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7AC5-D54F-8B27-99397587575E}"/>
              </c:ext>
            </c:extLst>
          </c:dPt>
          <c:dPt>
            <c:idx val="31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7AC5-D54F-8B27-99397587575E}"/>
              </c:ext>
            </c:extLst>
          </c:dPt>
          <c:dPt>
            <c:idx val="32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7AC5-D54F-8B27-99397587575E}"/>
              </c:ext>
            </c:extLst>
          </c:dPt>
          <c:dPt>
            <c:idx val="33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7AC5-D54F-8B27-99397587575E}"/>
              </c:ext>
            </c:extLst>
          </c:dPt>
          <c:dPt>
            <c:idx val="34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7AC5-D54F-8B27-99397587575E}"/>
              </c:ext>
            </c:extLst>
          </c:dPt>
          <c:dPt>
            <c:idx val="35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7AC5-D54F-8B27-99397587575E}"/>
              </c:ext>
            </c:extLst>
          </c:dPt>
          <c:dPt>
            <c:idx val="36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7AC5-D54F-8B27-99397587575E}"/>
              </c:ext>
            </c:extLst>
          </c:dPt>
          <c:dPt>
            <c:idx val="37"/>
            <c:marker>
              <c:symbol val="circle"/>
              <c:size val="8"/>
              <c:spPr>
                <a:solidFill>
                  <a:srgbClr val="ED7D3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7AC5-D54F-8B27-99397587575E}"/>
              </c:ext>
            </c:extLst>
          </c:dPt>
          <c:dPt>
            <c:idx val="38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7AC5-D54F-8B27-99397587575E}"/>
              </c:ext>
            </c:extLst>
          </c:dPt>
          <c:dPt>
            <c:idx val="39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7AC5-D54F-8B27-99397587575E}"/>
              </c:ext>
            </c:extLst>
          </c:dPt>
          <c:dPt>
            <c:idx val="40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7AC5-D54F-8B27-99397587575E}"/>
              </c:ext>
            </c:extLst>
          </c:dPt>
          <c:dPt>
            <c:idx val="41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7AC5-D54F-8B27-99397587575E}"/>
              </c:ext>
            </c:extLst>
          </c:dPt>
          <c:dPt>
            <c:idx val="42"/>
            <c:marker>
              <c:symbol val="circle"/>
              <c:size val="8"/>
              <c:spPr>
                <a:solidFill>
                  <a:srgbClr val="ED7D3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7AC5-D54F-8B27-99397587575E}"/>
              </c:ext>
            </c:extLst>
          </c:dPt>
          <c:dPt>
            <c:idx val="43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7AC5-D54F-8B27-99397587575E}"/>
              </c:ext>
            </c:extLst>
          </c:dPt>
          <c:dPt>
            <c:idx val="44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7AC5-D54F-8B27-99397587575E}"/>
              </c:ext>
            </c:extLst>
          </c:dPt>
          <c:dPt>
            <c:idx val="45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7AC5-D54F-8B27-99397587575E}"/>
              </c:ext>
            </c:extLst>
          </c:dPt>
          <c:dPt>
            <c:idx val="46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7AC5-D54F-8B27-99397587575E}"/>
              </c:ext>
            </c:extLst>
          </c:dPt>
          <c:dPt>
            <c:idx val="47"/>
            <c:marker>
              <c:symbol val="circle"/>
              <c:size val="8"/>
              <c:spPr>
                <a:solidFill>
                  <a:srgbClr val="A569BD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7AC5-D54F-8B27-99397587575E}"/>
              </c:ext>
            </c:extLst>
          </c:dPt>
          <c:dPt>
            <c:idx val="48"/>
            <c:marker>
              <c:symbol val="circle"/>
              <c:size val="8"/>
              <c:spPr>
                <a:solidFill>
                  <a:srgbClr val="4472C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7AC5-D54F-8B27-99397587575E}"/>
              </c:ext>
            </c:extLst>
          </c:dPt>
          <c:dPt>
            <c:idx val="49"/>
            <c:marker>
              <c:symbol val="circle"/>
              <c:size val="8"/>
              <c:spPr>
                <a:solidFill>
                  <a:srgbClr val="ED7D3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7AC5-D54F-8B27-99397587575E}"/>
              </c:ext>
            </c:extLst>
          </c:dPt>
          <c:dPt>
            <c:idx val="50"/>
            <c:marker>
              <c:symbol val="circle"/>
              <c:size val="8"/>
              <c:spPr>
                <a:solidFill>
                  <a:srgbClr val="A569BD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7AC5-D54F-8B27-99397587575E}"/>
              </c:ext>
            </c:extLst>
          </c:dPt>
          <c:dPt>
            <c:idx val="51"/>
            <c:marker>
              <c:symbol val="circle"/>
              <c:size val="8"/>
              <c:spPr>
                <a:solidFill>
                  <a:srgbClr val="A569BD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7AC5-D54F-8B27-99397587575E}"/>
              </c:ext>
            </c:extLst>
          </c:dPt>
          <c:xVal>
            <c:numRef>
              <c:f>[1]Sheet1!$A$2:$A$53</c:f>
              <c:numCache>
                <c:formatCode>General</c:formatCode>
                <c:ptCount val="52"/>
                <c:pt idx="0">
                  <c:v>1.2233011428679175</c:v>
                </c:pt>
                <c:pt idx="1">
                  <c:v>0.68005521210366082</c:v>
                </c:pt>
                <c:pt idx="2">
                  <c:v>-0.29557013294235102</c:v>
                </c:pt>
                <c:pt idx="3">
                  <c:v>4.8116068153402095E-2</c:v>
                </c:pt>
                <c:pt idx="4">
                  <c:v>1.2787344011091679</c:v>
                </c:pt>
                <c:pt idx="5">
                  <c:v>0</c:v>
                </c:pt>
                <c:pt idx="6">
                  <c:v>1.7111138153909202</c:v>
                </c:pt>
                <c:pt idx="7">
                  <c:v>0.18115588793240545</c:v>
                </c:pt>
                <c:pt idx="8">
                  <c:v>1.0680880197924152</c:v>
                </c:pt>
                <c:pt idx="9">
                  <c:v>0.70222851540015985</c:v>
                </c:pt>
                <c:pt idx="10">
                  <c:v>1.3563409626469176</c:v>
                </c:pt>
                <c:pt idx="11">
                  <c:v>1.4117742208881683</c:v>
                </c:pt>
                <c:pt idx="12">
                  <c:v>-8.4923751625598093E-2</c:v>
                </c:pt>
                <c:pt idx="13">
                  <c:v>1.023741413199414</c:v>
                </c:pt>
                <c:pt idx="14">
                  <c:v>0.48049548243515744</c:v>
                </c:pt>
                <c:pt idx="15">
                  <c:v>1.0570013681441657</c:v>
                </c:pt>
                <c:pt idx="16">
                  <c:v>1.8885002417629246</c:v>
                </c:pt>
                <c:pt idx="17">
                  <c:v>0.94613485166166433</c:v>
                </c:pt>
                <c:pt idx="18">
                  <c:v>1.4672074791294187</c:v>
                </c:pt>
                <c:pt idx="19">
                  <c:v>0.54701539232465757</c:v>
                </c:pt>
                <c:pt idx="20">
                  <c:v>-5.1663796680846467E-2</c:v>
                </c:pt>
                <c:pt idx="21">
                  <c:v>0.71331516704840936</c:v>
                </c:pt>
                <c:pt idx="22">
                  <c:v>0.83526833517916321</c:v>
                </c:pt>
                <c:pt idx="23">
                  <c:v>-0.43969660436960067</c:v>
                </c:pt>
                <c:pt idx="24">
                  <c:v>1.5780739956119201</c:v>
                </c:pt>
                <c:pt idx="25">
                  <c:v>-1.4707552076568631</c:v>
                </c:pt>
                <c:pt idx="26">
                  <c:v>-0.92750927689260665</c:v>
                </c:pt>
                <c:pt idx="27">
                  <c:v>-0.48404321096260178</c:v>
                </c:pt>
                <c:pt idx="28">
                  <c:v>-0.18470361645984981</c:v>
                </c:pt>
                <c:pt idx="29">
                  <c:v>-2.08052104831062</c:v>
                </c:pt>
                <c:pt idx="30">
                  <c:v>-0.93859592854085616</c:v>
                </c:pt>
                <c:pt idx="31">
                  <c:v>-0.68360294063110527</c:v>
                </c:pt>
                <c:pt idx="32">
                  <c:v>-1.382061994470861</c:v>
                </c:pt>
                <c:pt idx="33">
                  <c:v>-0.86098936700310658</c:v>
                </c:pt>
                <c:pt idx="34">
                  <c:v>-0.87207601865135598</c:v>
                </c:pt>
                <c:pt idx="35">
                  <c:v>-1.1935889164506102</c:v>
                </c:pt>
                <c:pt idx="36">
                  <c:v>-1.6481416340288644</c:v>
                </c:pt>
                <c:pt idx="37">
                  <c:v>-1.12706900656111</c:v>
                </c:pt>
                <c:pt idx="38">
                  <c:v>-5.1663796680846467E-2</c:v>
                </c:pt>
                <c:pt idx="39">
                  <c:v>-1.1048957032646078</c:v>
                </c:pt>
                <c:pt idx="40">
                  <c:v>-0.87207601865135598</c:v>
                </c:pt>
                <c:pt idx="41">
                  <c:v>-1.1159823549128605</c:v>
                </c:pt>
                <c:pt idx="42">
                  <c:v>0.1035493263946527</c:v>
                </c:pt>
                <c:pt idx="43">
                  <c:v>-0.6281696823898546</c:v>
                </c:pt>
                <c:pt idx="44">
                  <c:v>-0.46186990766610281</c:v>
                </c:pt>
                <c:pt idx="45">
                  <c:v>-0.38426334612835011</c:v>
                </c:pt>
                <c:pt idx="46">
                  <c:v>-0.9607692318373583</c:v>
                </c:pt>
                <c:pt idx="47">
                  <c:v>0.52484208902815854</c:v>
                </c:pt>
                <c:pt idx="48">
                  <c:v>-0.78338280546535699</c:v>
                </c:pt>
                <c:pt idx="49">
                  <c:v>0.28093575276665717</c:v>
                </c:pt>
              </c:numCache>
            </c:numRef>
          </c:xVal>
          <c:yVal>
            <c:numRef>
              <c:f>[1]Sheet1!$B$2:$B$53</c:f>
              <c:numCache>
                <c:formatCode>General</c:formatCode>
                <c:ptCount val="52"/>
                <c:pt idx="0">
                  <c:v>0.97835222248348708</c:v>
                </c:pt>
                <c:pt idx="1">
                  <c:v>0.28305795552308843</c:v>
                </c:pt>
                <c:pt idx="2">
                  <c:v>8.5996922492471359E-3</c:v>
                </c:pt>
                <c:pt idx="3">
                  <c:v>0.81367726451918132</c:v>
                </c:pt>
                <c:pt idx="4">
                  <c:v>1.426634052497427</c:v>
                </c:pt>
                <c:pt idx="5">
                  <c:v>-0.45797935531628253</c:v>
                </c:pt>
                <c:pt idx="6">
                  <c:v>1.6644978806680903</c:v>
                </c:pt>
                <c:pt idx="7">
                  <c:v>0.65815091533067227</c:v>
                </c:pt>
                <c:pt idx="8">
                  <c:v>1.1155813541204078</c:v>
                </c:pt>
                <c:pt idx="9">
                  <c:v>0</c:v>
                </c:pt>
                <c:pt idx="10">
                  <c:v>1.2345132682057387</c:v>
                </c:pt>
                <c:pt idx="11">
                  <c:v>0.61240787145169873</c:v>
                </c:pt>
                <c:pt idx="12">
                  <c:v>0.43858430471159876</c:v>
                </c:pt>
                <c:pt idx="13">
                  <c:v>0.62155648022749288</c:v>
                </c:pt>
                <c:pt idx="14">
                  <c:v>0.31050378185047295</c:v>
                </c:pt>
                <c:pt idx="15">
                  <c:v>0.66729952410646642</c:v>
                </c:pt>
                <c:pt idx="16">
                  <c:v>1.9115103176145465</c:v>
                </c:pt>
                <c:pt idx="17">
                  <c:v>1.6187548367891167</c:v>
                </c:pt>
                <c:pt idx="18">
                  <c:v>1.3259993559636858</c:v>
                </c:pt>
                <c:pt idx="19">
                  <c:v>0.63070508900328714</c:v>
                </c:pt>
                <c:pt idx="20">
                  <c:v>1.0332438751382549</c:v>
                </c:pt>
                <c:pt idx="21">
                  <c:v>1.1430271804477916</c:v>
                </c:pt>
                <c:pt idx="22">
                  <c:v>0.90516335227712841</c:v>
                </c:pt>
                <c:pt idx="23">
                  <c:v>0.4568815222631884</c:v>
                </c:pt>
                <c:pt idx="24">
                  <c:v>1.4083368349458374</c:v>
                </c:pt>
                <c:pt idx="25">
                  <c:v>-1.3545430153441644</c:v>
                </c:pt>
                <c:pt idx="26">
                  <c:v>-0.84222092389966063</c:v>
                </c:pt>
                <c:pt idx="27">
                  <c:v>-0.20181830959403091</c:v>
                </c:pt>
                <c:pt idx="28">
                  <c:v>-0.59520848695320316</c:v>
                </c:pt>
                <c:pt idx="29">
                  <c:v>-1.8302706716854888</c:v>
                </c:pt>
                <c:pt idx="30">
                  <c:v>-0.56776266062581926</c:v>
                </c:pt>
                <c:pt idx="31">
                  <c:v>-0.20181830959403091</c:v>
                </c:pt>
                <c:pt idx="32">
                  <c:v>-1.7753790190307213</c:v>
                </c:pt>
                <c:pt idx="33">
                  <c:v>-1.1441250135008858</c:v>
                </c:pt>
                <c:pt idx="34">
                  <c:v>-0.93370701165760772</c:v>
                </c:pt>
                <c:pt idx="35">
                  <c:v>-1.391137450447343</c:v>
                </c:pt>
                <c:pt idx="36">
                  <c:v>-1.1441250135008858</c:v>
                </c:pt>
                <c:pt idx="37">
                  <c:v>0.43858430471159876</c:v>
                </c:pt>
                <c:pt idx="38">
                  <c:v>-0.64095153083217671</c:v>
                </c:pt>
                <c:pt idx="39">
                  <c:v>-1.2173138837072439</c:v>
                </c:pt>
                <c:pt idx="40">
                  <c:v>-0.88796396777863418</c:v>
                </c:pt>
                <c:pt idx="41">
                  <c:v>-0.64095153083217671</c:v>
                </c:pt>
                <c:pt idx="42">
                  <c:v>-0.8330723151238657</c:v>
                </c:pt>
                <c:pt idx="43">
                  <c:v>-1.2630569275862173</c:v>
                </c:pt>
                <c:pt idx="44">
                  <c:v>-0.93370701165760772</c:v>
                </c:pt>
                <c:pt idx="45">
                  <c:v>-0.65924874838376635</c:v>
                </c:pt>
                <c:pt idx="46">
                  <c:v>-0.47627657286787223</c:v>
                </c:pt>
                <c:pt idx="47">
                  <c:v>0</c:v>
                </c:pt>
                <c:pt idx="48">
                  <c:v>-0.93370701165760772</c:v>
                </c:pt>
                <c:pt idx="49">
                  <c:v>-0.75073483614171355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AC5-D54F-8B27-99397587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016319"/>
        <c:axId val="135679039"/>
      </c:scatterChart>
      <c:valAx>
        <c:axId val="138016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35679039"/>
        <c:crosses val="autoZero"/>
        <c:crossBetween val="midCat"/>
      </c:valAx>
      <c:valAx>
        <c:axId val="13567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38016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'6.鞋码-GPA'!$B$1:$B$1</c:f>
              <c:strCache>
                <c:ptCount val="1"/>
                <c:pt idx="0">
                  <c:v>平均学分绩点 (GPA)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'6.鞋码-GPA'!$A$2:$A$51</c:f>
              <c:numCache>
                <c:formatCode>General</c:formatCode>
                <c:ptCount val="50"/>
                <c:pt idx="0">
                  <c:v>37.049999999999997</c:v>
                </c:pt>
                <c:pt idx="1">
                  <c:v>38.14</c:v>
                </c:pt>
                <c:pt idx="2">
                  <c:v>36.909999999999997</c:v>
                </c:pt>
                <c:pt idx="3">
                  <c:v>44.86</c:v>
                </c:pt>
                <c:pt idx="4">
                  <c:v>35.880000000000003</c:v>
                </c:pt>
                <c:pt idx="5">
                  <c:v>40.770000000000003</c:v>
                </c:pt>
                <c:pt idx="6">
                  <c:v>39.51</c:v>
                </c:pt>
                <c:pt idx="7">
                  <c:v>45.81</c:v>
                </c:pt>
                <c:pt idx="8">
                  <c:v>36.229999999999997</c:v>
                </c:pt>
                <c:pt idx="9">
                  <c:v>39.380000000000003</c:v>
                </c:pt>
                <c:pt idx="10">
                  <c:v>45.66</c:v>
                </c:pt>
                <c:pt idx="11">
                  <c:v>44.52</c:v>
                </c:pt>
                <c:pt idx="12">
                  <c:v>43.99</c:v>
                </c:pt>
                <c:pt idx="13">
                  <c:v>37.840000000000003</c:v>
                </c:pt>
                <c:pt idx="14">
                  <c:v>36.880000000000003</c:v>
                </c:pt>
                <c:pt idx="15">
                  <c:v>42.36</c:v>
                </c:pt>
                <c:pt idx="16">
                  <c:v>45.22</c:v>
                </c:pt>
                <c:pt idx="17">
                  <c:v>41.12</c:v>
                </c:pt>
                <c:pt idx="18">
                  <c:v>41.29</c:v>
                </c:pt>
                <c:pt idx="19">
                  <c:v>38.08</c:v>
                </c:pt>
                <c:pt idx="20">
                  <c:v>43.46</c:v>
                </c:pt>
                <c:pt idx="21">
                  <c:v>37.06</c:v>
                </c:pt>
                <c:pt idx="22">
                  <c:v>38.56</c:v>
                </c:pt>
                <c:pt idx="23">
                  <c:v>39.68</c:v>
                </c:pt>
                <c:pt idx="24">
                  <c:v>40.58</c:v>
                </c:pt>
                <c:pt idx="25">
                  <c:v>37.67</c:v>
                </c:pt>
                <c:pt idx="26">
                  <c:v>36.26</c:v>
                </c:pt>
                <c:pt idx="27">
                  <c:v>41.72</c:v>
                </c:pt>
                <c:pt idx="28">
                  <c:v>38.17</c:v>
                </c:pt>
                <c:pt idx="29">
                  <c:v>41.39</c:v>
                </c:pt>
                <c:pt idx="30">
                  <c:v>36.700000000000003</c:v>
                </c:pt>
                <c:pt idx="31">
                  <c:v>40.29</c:v>
                </c:pt>
                <c:pt idx="32">
                  <c:v>40.86</c:v>
                </c:pt>
                <c:pt idx="33">
                  <c:v>35.57</c:v>
                </c:pt>
                <c:pt idx="34">
                  <c:v>38.700000000000003</c:v>
                </c:pt>
                <c:pt idx="35">
                  <c:v>36.479999999999997</c:v>
                </c:pt>
                <c:pt idx="36">
                  <c:v>35.700000000000003</c:v>
                </c:pt>
                <c:pt idx="37">
                  <c:v>45.89</c:v>
                </c:pt>
                <c:pt idx="38">
                  <c:v>38.549999999999997</c:v>
                </c:pt>
                <c:pt idx="39">
                  <c:v>43.91</c:v>
                </c:pt>
                <c:pt idx="40">
                  <c:v>37.799999999999997</c:v>
                </c:pt>
                <c:pt idx="41">
                  <c:v>42.5</c:v>
                </c:pt>
                <c:pt idx="42">
                  <c:v>43.36</c:v>
                </c:pt>
                <c:pt idx="43">
                  <c:v>41.55</c:v>
                </c:pt>
                <c:pt idx="44">
                  <c:v>40.19</c:v>
                </c:pt>
                <c:pt idx="45">
                  <c:v>39.53</c:v>
                </c:pt>
                <c:pt idx="46">
                  <c:v>38.840000000000003</c:v>
                </c:pt>
                <c:pt idx="47">
                  <c:v>45.22</c:v>
                </c:pt>
                <c:pt idx="48">
                  <c:v>44.14</c:v>
                </c:pt>
                <c:pt idx="49">
                  <c:v>45.62</c:v>
                </c:pt>
              </c:numCache>
            </c:numRef>
          </c:xVal>
          <c:yVal>
            <c:numRef>
              <c:f>'6.鞋码-GPA'!$B$2:$B$51</c:f>
              <c:numCache>
                <c:formatCode>General</c:formatCode>
                <c:ptCount val="50"/>
                <c:pt idx="0">
                  <c:v>3.39</c:v>
                </c:pt>
                <c:pt idx="1">
                  <c:v>2.9</c:v>
                </c:pt>
                <c:pt idx="2">
                  <c:v>3.24</c:v>
                </c:pt>
                <c:pt idx="3">
                  <c:v>3.12</c:v>
                </c:pt>
                <c:pt idx="4">
                  <c:v>3.78</c:v>
                </c:pt>
                <c:pt idx="5">
                  <c:v>3.33</c:v>
                </c:pt>
                <c:pt idx="6">
                  <c:v>3.37</c:v>
                </c:pt>
                <c:pt idx="7">
                  <c:v>2.99</c:v>
                </c:pt>
                <c:pt idx="8">
                  <c:v>2.96</c:v>
                </c:pt>
                <c:pt idx="9">
                  <c:v>2.98</c:v>
                </c:pt>
                <c:pt idx="10">
                  <c:v>3.4</c:v>
                </c:pt>
                <c:pt idx="11">
                  <c:v>2.99</c:v>
                </c:pt>
                <c:pt idx="12">
                  <c:v>3.34</c:v>
                </c:pt>
                <c:pt idx="13">
                  <c:v>4</c:v>
                </c:pt>
                <c:pt idx="14">
                  <c:v>3.64</c:v>
                </c:pt>
                <c:pt idx="15">
                  <c:v>3.04</c:v>
                </c:pt>
                <c:pt idx="16">
                  <c:v>3.8</c:v>
                </c:pt>
                <c:pt idx="17">
                  <c:v>3</c:v>
                </c:pt>
                <c:pt idx="18">
                  <c:v>2.1800000000000002</c:v>
                </c:pt>
                <c:pt idx="19">
                  <c:v>2.7</c:v>
                </c:pt>
                <c:pt idx="20">
                  <c:v>2.2599999999999998</c:v>
                </c:pt>
                <c:pt idx="21">
                  <c:v>3.02</c:v>
                </c:pt>
                <c:pt idx="22">
                  <c:v>3.21</c:v>
                </c:pt>
                <c:pt idx="23">
                  <c:v>4</c:v>
                </c:pt>
                <c:pt idx="24">
                  <c:v>3.36</c:v>
                </c:pt>
                <c:pt idx="25">
                  <c:v>3.09</c:v>
                </c:pt>
                <c:pt idx="26">
                  <c:v>3.61</c:v>
                </c:pt>
                <c:pt idx="27">
                  <c:v>2.09</c:v>
                </c:pt>
                <c:pt idx="28">
                  <c:v>3.32</c:v>
                </c:pt>
                <c:pt idx="29">
                  <c:v>3.59</c:v>
                </c:pt>
                <c:pt idx="30">
                  <c:v>2.46</c:v>
                </c:pt>
                <c:pt idx="31">
                  <c:v>3.77</c:v>
                </c:pt>
                <c:pt idx="32">
                  <c:v>3.37</c:v>
                </c:pt>
                <c:pt idx="33">
                  <c:v>2.99</c:v>
                </c:pt>
                <c:pt idx="34">
                  <c:v>3.52</c:v>
                </c:pt>
                <c:pt idx="35">
                  <c:v>4</c:v>
                </c:pt>
                <c:pt idx="36">
                  <c:v>3.29</c:v>
                </c:pt>
                <c:pt idx="37">
                  <c:v>3.32</c:v>
                </c:pt>
                <c:pt idx="38">
                  <c:v>2.97</c:v>
                </c:pt>
                <c:pt idx="39">
                  <c:v>2.78</c:v>
                </c:pt>
                <c:pt idx="40">
                  <c:v>3.62</c:v>
                </c:pt>
                <c:pt idx="41">
                  <c:v>2.77</c:v>
                </c:pt>
                <c:pt idx="42">
                  <c:v>3.24</c:v>
                </c:pt>
                <c:pt idx="43">
                  <c:v>2.96</c:v>
                </c:pt>
                <c:pt idx="44">
                  <c:v>3.44</c:v>
                </c:pt>
                <c:pt idx="45">
                  <c:v>3.37</c:v>
                </c:pt>
                <c:pt idx="46">
                  <c:v>3.72</c:v>
                </c:pt>
                <c:pt idx="47">
                  <c:v>2.94</c:v>
                </c:pt>
                <c:pt idx="48">
                  <c:v>3.07</c:v>
                </c:pt>
                <c:pt idx="49">
                  <c:v>2.71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49-E940-B6A5-AE7616412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271359"/>
        <c:axId val="215728575"/>
      </c:scatterChart>
      <c:valAx>
        <c:axId val="217271359"/>
        <c:scaling>
          <c:orientation val="minMax"/>
          <c:min val="3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鞋码 </a:t>
                </a:r>
                <a:r>
                  <a:rPr lang="en-US" altLang="zh-CN"/>
                  <a:t>(</a:t>
                </a:r>
                <a:r>
                  <a:rPr lang="zh-CN" altLang="en-US"/>
                  <a:t>码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5728575"/>
        <c:crosses val="autoZero"/>
        <c:crossBetween val="midCat"/>
      </c:valAx>
      <c:valAx>
        <c:axId val="21572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平均学分绩点 </a:t>
                </a:r>
                <a:r>
                  <a:rPr lang="en-US" altLang="zh-CN"/>
                  <a:t>(</a:t>
                </a:r>
                <a:r>
                  <a:rPr lang="en-US"/>
                  <a:t>GPA)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727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'7.计算机使用-学习效果'!$B$1:$B$1</c:f>
              <c:strCache>
                <c:ptCount val="1"/>
                <c:pt idx="0">
                  <c:v>学习效果综合评分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'7.计算机使用-学习效果'!$A$2:$A$52</c:f>
              <c:numCache>
                <c:formatCode>General</c:formatCode>
                <c:ptCount val="51"/>
                <c:pt idx="0">
                  <c:v>31.89</c:v>
                </c:pt>
                <c:pt idx="1">
                  <c:v>6</c:v>
                </c:pt>
                <c:pt idx="2">
                  <c:v>9.17</c:v>
                </c:pt>
                <c:pt idx="3">
                  <c:v>28.89</c:v>
                </c:pt>
                <c:pt idx="4">
                  <c:v>28.8</c:v>
                </c:pt>
                <c:pt idx="5">
                  <c:v>25.65</c:v>
                </c:pt>
                <c:pt idx="6">
                  <c:v>27.76</c:v>
                </c:pt>
                <c:pt idx="7">
                  <c:v>21.71</c:v>
                </c:pt>
                <c:pt idx="8">
                  <c:v>10.07</c:v>
                </c:pt>
                <c:pt idx="9">
                  <c:v>13.83</c:v>
                </c:pt>
                <c:pt idx="10">
                  <c:v>7.26</c:v>
                </c:pt>
                <c:pt idx="11">
                  <c:v>36.340000000000003</c:v>
                </c:pt>
                <c:pt idx="12">
                  <c:v>23.34</c:v>
                </c:pt>
                <c:pt idx="13">
                  <c:v>16.03</c:v>
                </c:pt>
                <c:pt idx="14">
                  <c:v>18.48</c:v>
                </c:pt>
                <c:pt idx="15">
                  <c:v>37.89</c:v>
                </c:pt>
                <c:pt idx="16">
                  <c:v>6.13</c:v>
                </c:pt>
                <c:pt idx="17">
                  <c:v>23.45</c:v>
                </c:pt>
                <c:pt idx="18">
                  <c:v>20.239999999999998</c:v>
                </c:pt>
                <c:pt idx="19">
                  <c:v>24.46</c:v>
                </c:pt>
                <c:pt idx="20">
                  <c:v>0.72</c:v>
                </c:pt>
                <c:pt idx="21">
                  <c:v>34.880000000000003</c:v>
                </c:pt>
                <c:pt idx="22">
                  <c:v>37.28</c:v>
                </c:pt>
                <c:pt idx="23">
                  <c:v>22.61</c:v>
                </c:pt>
                <c:pt idx="24">
                  <c:v>27.87</c:v>
                </c:pt>
                <c:pt idx="25">
                  <c:v>36.9</c:v>
                </c:pt>
                <c:pt idx="26">
                  <c:v>28.29</c:v>
                </c:pt>
                <c:pt idx="27">
                  <c:v>6.1</c:v>
                </c:pt>
                <c:pt idx="28">
                  <c:v>23.05</c:v>
                </c:pt>
                <c:pt idx="29">
                  <c:v>24.27</c:v>
                </c:pt>
                <c:pt idx="30">
                  <c:v>16.97</c:v>
                </c:pt>
                <c:pt idx="31">
                  <c:v>29.46</c:v>
                </c:pt>
                <c:pt idx="32">
                  <c:v>37.369999999999997</c:v>
                </c:pt>
                <c:pt idx="33">
                  <c:v>37.020000000000003</c:v>
                </c:pt>
                <c:pt idx="34">
                  <c:v>18.03</c:v>
                </c:pt>
                <c:pt idx="35">
                  <c:v>4.53</c:v>
                </c:pt>
                <c:pt idx="36">
                  <c:v>39.39</c:v>
                </c:pt>
                <c:pt idx="37">
                  <c:v>33.56</c:v>
                </c:pt>
                <c:pt idx="38">
                  <c:v>4.99</c:v>
                </c:pt>
                <c:pt idx="39">
                  <c:v>36.83</c:v>
                </c:pt>
                <c:pt idx="40">
                  <c:v>34.799999999999997</c:v>
                </c:pt>
                <c:pt idx="41">
                  <c:v>20.75</c:v>
                </c:pt>
                <c:pt idx="42">
                  <c:v>23.65</c:v>
                </c:pt>
                <c:pt idx="43">
                  <c:v>15.96</c:v>
                </c:pt>
                <c:pt idx="44">
                  <c:v>2.19</c:v>
                </c:pt>
                <c:pt idx="45">
                  <c:v>13.41</c:v>
                </c:pt>
                <c:pt idx="46">
                  <c:v>32.11</c:v>
                </c:pt>
                <c:pt idx="47">
                  <c:v>0.19</c:v>
                </c:pt>
                <c:pt idx="48">
                  <c:v>13.34</c:v>
                </c:pt>
                <c:pt idx="49">
                  <c:v>15.93</c:v>
                </c:pt>
                <c:pt idx="50">
                  <c:v>30</c:v>
                </c:pt>
              </c:numCache>
            </c:numRef>
          </c:xVal>
          <c:yVal>
            <c:numRef>
              <c:f>'7.计算机使用-学习效果'!$B$2:$B$52</c:f>
              <c:numCache>
                <c:formatCode>General</c:formatCode>
                <c:ptCount val="51"/>
                <c:pt idx="0">
                  <c:v>46.32</c:v>
                </c:pt>
                <c:pt idx="1">
                  <c:v>73.209999999999994</c:v>
                </c:pt>
                <c:pt idx="2">
                  <c:v>73.45</c:v>
                </c:pt>
                <c:pt idx="3">
                  <c:v>49.58</c:v>
                </c:pt>
                <c:pt idx="4">
                  <c:v>54.75</c:v>
                </c:pt>
                <c:pt idx="5">
                  <c:v>76.34</c:v>
                </c:pt>
                <c:pt idx="6">
                  <c:v>59.29</c:v>
                </c:pt>
                <c:pt idx="7">
                  <c:v>70.73</c:v>
                </c:pt>
                <c:pt idx="8">
                  <c:v>80.13</c:v>
                </c:pt>
                <c:pt idx="9">
                  <c:v>83.43</c:v>
                </c:pt>
                <c:pt idx="10">
                  <c:v>62.54</c:v>
                </c:pt>
                <c:pt idx="11">
                  <c:v>40</c:v>
                </c:pt>
                <c:pt idx="12">
                  <c:v>73.42</c:v>
                </c:pt>
                <c:pt idx="13">
                  <c:v>88.32</c:v>
                </c:pt>
                <c:pt idx="14">
                  <c:v>92.43</c:v>
                </c:pt>
                <c:pt idx="15">
                  <c:v>40</c:v>
                </c:pt>
                <c:pt idx="16">
                  <c:v>71.86</c:v>
                </c:pt>
                <c:pt idx="17">
                  <c:v>68.760000000000005</c:v>
                </c:pt>
                <c:pt idx="18">
                  <c:v>93.76</c:v>
                </c:pt>
                <c:pt idx="19">
                  <c:v>71.88</c:v>
                </c:pt>
                <c:pt idx="20">
                  <c:v>54.5</c:v>
                </c:pt>
                <c:pt idx="21">
                  <c:v>40</c:v>
                </c:pt>
                <c:pt idx="22">
                  <c:v>40</c:v>
                </c:pt>
                <c:pt idx="23">
                  <c:v>75.599999999999994</c:v>
                </c:pt>
                <c:pt idx="24">
                  <c:v>57.3</c:v>
                </c:pt>
                <c:pt idx="25">
                  <c:v>40</c:v>
                </c:pt>
                <c:pt idx="26">
                  <c:v>58.34</c:v>
                </c:pt>
                <c:pt idx="27">
                  <c:v>70.41</c:v>
                </c:pt>
                <c:pt idx="28">
                  <c:v>71.709999999999994</c:v>
                </c:pt>
                <c:pt idx="29">
                  <c:v>72.650000000000006</c:v>
                </c:pt>
                <c:pt idx="30">
                  <c:v>83.15</c:v>
                </c:pt>
                <c:pt idx="31">
                  <c:v>61.17</c:v>
                </c:pt>
                <c:pt idx="32">
                  <c:v>40</c:v>
                </c:pt>
                <c:pt idx="33">
                  <c:v>40</c:v>
                </c:pt>
                <c:pt idx="34">
                  <c:v>89.85</c:v>
                </c:pt>
                <c:pt idx="35">
                  <c:v>58.19</c:v>
                </c:pt>
                <c:pt idx="36">
                  <c:v>40</c:v>
                </c:pt>
                <c:pt idx="37">
                  <c:v>40</c:v>
                </c:pt>
                <c:pt idx="38">
                  <c:v>62.92</c:v>
                </c:pt>
                <c:pt idx="39">
                  <c:v>40</c:v>
                </c:pt>
                <c:pt idx="40">
                  <c:v>40</c:v>
                </c:pt>
                <c:pt idx="41">
                  <c:v>88.8</c:v>
                </c:pt>
                <c:pt idx="42">
                  <c:v>78.45</c:v>
                </c:pt>
                <c:pt idx="43">
                  <c:v>91.22</c:v>
                </c:pt>
                <c:pt idx="44">
                  <c:v>64</c:v>
                </c:pt>
                <c:pt idx="45">
                  <c:v>78.97</c:v>
                </c:pt>
                <c:pt idx="46">
                  <c:v>40</c:v>
                </c:pt>
                <c:pt idx="47">
                  <c:v>54.53</c:v>
                </c:pt>
                <c:pt idx="48">
                  <c:v>78.48</c:v>
                </c:pt>
                <c:pt idx="49">
                  <c:v>88.44</c:v>
                </c:pt>
                <c:pt idx="50">
                  <c:v>20.100000000000001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D3-4C4F-BDEA-E34A2874A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613567"/>
        <c:axId val="300992255"/>
      </c:scatterChart>
      <c:valAx>
        <c:axId val="22161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每周计算机使用时长 </a:t>
                </a:r>
                <a:r>
                  <a:rPr lang="en-US" altLang="zh-CN"/>
                  <a:t>(</a:t>
                </a:r>
                <a:r>
                  <a:rPr lang="zh-CN" altLang="en-US"/>
                  <a:t>小时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300992255"/>
        <c:crosses val="autoZero"/>
        <c:crossBetween val="midCat"/>
      </c:valAx>
      <c:valAx>
        <c:axId val="30099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学习效果综合评分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1613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'8.学习时长-考试成绩'!$B$1:$B$1</c:f>
              <c:strCache>
                <c:ptCount val="1"/>
                <c:pt idx="0">
                  <c:v>期末考试成绩 (分)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'8.学习时长-考试成绩'!$A$2:$A$51</c:f>
              <c:numCache>
                <c:formatCode>General</c:formatCode>
                <c:ptCount val="50"/>
                <c:pt idx="0">
                  <c:v>4.78</c:v>
                </c:pt>
                <c:pt idx="1">
                  <c:v>8.81</c:v>
                </c:pt>
                <c:pt idx="2">
                  <c:v>22.22</c:v>
                </c:pt>
                <c:pt idx="3">
                  <c:v>25.96</c:v>
                </c:pt>
                <c:pt idx="4">
                  <c:v>25.25</c:v>
                </c:pt>
                <c:pt idx="5">
                  <c:v>13.12</c:v>
                </c:pt>
                <c:pt idx="6">
                  <c:v>20.71</c:v>
                </c:pt>
                <c:pt idx="7">
                  <c:v>7.74</c:v>
                </c:pt>
                <c:pt idx="8">
                  <c:v>10.210000000000001</c:v>
                </c:pt>
                <c:pt idx="9">
                  <c:v>27.1</c:v>
                </c:pt>
                <c:pt idx="10">
                  <c:v>2.36</c:v>
                </c:pt>
                <c:pt idx="11">
                  <c:v>4.3899999999999997</c:v>
                </c:pt>
                <c:pt idx="12">
                  <c:v>7.82</c:v>
                </c:pt>
                <c:pt idx="13">
                  <c:v>2.74</c:v>
                </c:pt>
                <c:pt idx="14">
                  <c:v>7.08</c:v>
                </c:pt>
                <c:pt idx="15">
                  <c:v>18.329999999999998</c:v>
                </c:pt>
                <c:pt idx="16">
                  <c:v>13.8</c:v>
                </c:pt>
                <c:pt idx="17">
                  <c:v>26.99</c:v>
                </c:pt>
                <c:pt idx="18">
                  <c:v>24.89</c:v>
                </c:pt>
                <c:pt idx="19">
                  <c:v>11.57</c:v>
                </c:pt>
                <c:pt idx="20">
                  <c:v>9.26</c:v>
                </c:pt>
                <c:pt idx="21">
                  <c:v>12.63</c:v>
                </c:pt>
                <c:pt idx="22">
                  <c:v>18.53</c:v>
                </c:pt>
                <c:pt idx="23">
                  <c:v>9.51</c:v>
                </c:pt>
                <c:pt idx="24">
                  <c:v>19.48</c:v>
                </c:pt>
                <c:pt idx="25">
                  <c:v>13.46</c:v>
                </c:pt>
                <c:pt idx="26">
                  <c:v>17.46</c:v>
                </c:pt>
                <c:pt idx="27">
                  <c:v>14.21</c:v>
                </c:pt>
                <c:pt idx="28">
                  <c:v>10.25</c:v>
                </c:pt>
                <c:pt idx="29">
                  <c:v>28.56</c:v>
                </c:pt>
                <c:pt idx="30">
                  <c:v>23.38</c:v>
                </c:pt>
                <c:pt idx="31">
                  <c:v>5.92</c:v>
                </c:pt>
                <c:pt idx="32">
                  <c:v>26.32</c:v>
                </c:pt>
                <c:pt idx="33">
                  <c:v>15.65</c:v>
                </c:pt>
                <c:pt idx="34">
                  <c:v>27.05</c:v>
                </c:pt>
                <c:pt idx="35">
                  <c:v>24.4</c:v>
                </c:pt>
                <c:pt idx="36">
                  <c:v>13.91</c:v>
                </c:pt>
                <c:pt idx="37">
                  <c:v>2.63</c:v>
                </c:pt>
                <c:pt idx="38">
                  <c:v>9.52</c:v>
                </c:pt>
                <c:pt idx="39">
                  <c:v>17.170000000000002</c:v>
                </c:pt>
                <c:pt idx="40">
                  <c:v>19.739999999999998</c:v>
                </c:pt>
                <c:pt idx="41">
                  <c:v>9.2200000000000006</c:v>
                </c:pt>
                <c:pt idx="42">
                  <c:v>5.9</c:v>
                </c:pt>
                <c:pt idx="43">
                  <c:v>25.38</c:v>
                </c:pt>
                <c:pt idx="44">
                  <c:v>29.56</c:v>
                </c:pt>
                <c:pt idx="45">
                  <c:v>16.72</c:v>
                </c:pt>
                <c:pt idx="46">
                  <c:v>6.81</c:v>
                </c:pt>
                <c:pt idx="47">
                  <c:v>9.6199999999999992</c:v>
                </c:pt>
                <c:pt idx="48">
                  <c:v>2.5099999999999998</c:v>
                </c:pt>
                <c:pt idx="49">
                  <c:v>27.6</c:v>
                </c:pt>
              </c:numCache>
            </c:numRef>
          </c:xVal>
          <c:yVal>
            <c:numRef>
              <c:f>'8.学习时长-考试成绩'!$B$2:$B$51</c:f>
              <c:numCache>
                <c:formatCode>General</c:formatCode>
                <c:ptCount val="50"/>
                <c:pt idx="0">
                  <c:v>56.57</c:v>
                </c:pt>
                <c:pt idx="1">
                  <c:v>53.54</c:v>
                </c:pt>
                <c:pt idx="2">
                  <c:v>71.709999999999994</c:v>
                </c:pt>
                <c:pt idx="3">
                  <c:v>60.83</c:v>
                </c:pt>
                <c:pt idx="4">
                  <c:v>76.91</c:v>
                </c:pt>
                <c:pt idx="5">
                  <c:v>66</c:v>
                </c:pt>
                <c:pt idx="6">
                  <c:v>69.95</c:v>
                </c:pt>
                <c:pt idx="7">
                  <c:v>64.290000000000006</c:v>
                </c:pt>
                <c:pt idx="8">
                  <c:v>70.680000000000007</c:v>
                </c:pt>
                <c:pt idx="9">
                  <c:v>77.59</c:v>
                </c:pt>
                <c:pt idx="10">
                  <c:v>41.71</c:v>
                </c:pt>
                <c:pt idx="11">
                  <c:v>47.31</c:v>
                </c:pt>
                <c:pt idx="12">
                  <c:v>54.72</c:v>
                </c:pt>
                <c:pt idx="13">
                  <c:v>53.34</c:v>
                </c:pt>
                <c:pt idx="14">
                  <c:v>60.85</c:v>
                </c:pt>
                <c:pt idx="15">
                  <c:v>62.6</c:v>
                </c:pt>
                <c:pt idx="16">
                  <c:v>64.819999999999993</c:v>
                </c:pt>
                <c:pt idx="17">
                  <c:v>66.930000000000007</c:v>
                </c:pt>
                <c:pt idx="18">
                  <c:v>66.91</c:v>
                </c:pt>
                <c:pt idx="19">
                  <c:v>53.44</c:v>
                </c:pt>
                <c:pt idx="20">
                  <c:v>54.29</c:v>
                </c:pt>
                <c:pt idx="21">
                  <c:v>54.65</c:v>
                </c:pt>
                <c:pt idx="22">
                  <c:v>61.23</c:v>
                </c:pt>
                <c:pt idx="23">
                  <c:v>66.37</c:v>
                </c:pt>
                <c:pt idx="24">
                  <c:v>61.99</c:v>
                </c:pt>
                <c:pt idx="25">
                  <c:v>79.23</c:v>
                </c:pt>
                <c:pt idx="26">
                  <c:v>69.34</c:v>
                </c:pt>
                <c:pt idx="27">
                  <c:v>65.13</c:v>
                </c:pt>
                <c:pt idx="28">
                  <c:v>55.57</c:v>
                </c:pt>
                <c:pt idx="29">
                  <c:v>76.239999999999995</c:v>
                </c:pt>
                <c:pt idx="30">
                  <c:v>66.400000000000006</c:v>
                </c:pt>
                <c:pt idx="31">
                  <c:v>57.31</c:v>
                </c:pt>
                <c:pt idx="32">
                  <c:v>86.55</c:v>
                </c:pt>
                <c:pt idx="33">
                  <c:v>64.53</c:v>
                </c:pt>
                <c:pt idx="34">
                  <c:v>78.38</c:v>
                </c:pt>
                <c:pt idx="35">
                  <c:v>66.13</c:v>
                </c:pt>
                <c:pt idx="36">
                  <c:v>63.58</c:v>
                </c:pt>
                <c:pt idx="37">
                  <c:v>63.68</c:v>
                </c:pt>
                <c:pt idx="38">
                  <c:v>56.31</c:v>
                </c:pt>
                <c:pt idx="39">
                  <c:v>77.05</c:v>
                </c:pt>
                <c:pt idx="40">
                  <c:v>72.09</c:v>
                </c:pt>
                <c:pt idx="41">
                  <c:v>56.41</c:v>
                </c:pt>
                <c:pt idx="42">
                  <c:v>60.35</c:v>
                </c:pt>
                <c:pt idx="43">
                  <c:v>76.63</c:v>
                </c:pt>
                <c:pt idx="44">
                  <c:v>76.099999999999994</c:v>
                </c:pt>
                <c:pt idx="45">
                  <c:v>56.45</c:v>
                </c:pt>
                <c:pt idx="46">
                  <c:v>53.11</c:v>
                </c:pt>
                <c:pt idx="47">
                  <c:v>58.67</c:v>
                </c:pt>
                <c:pt idx="48">
                  <c:v>52.48</c:v>
                </c:pt>
                <c:pt idx="49">
                  <c:v>75.42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6A-3749-8E11-332FDC420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40639"/>
        <c:axId val="268154431"/>
      </c:scatterChart>
      <c:valAx>
        <c:axId val="21164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每周学习时长 </a:t>
                </a:r>
                <a:r>
                  <a:rPr lang="en-US" altLang="zh-CN"/>
                  <a:t>(</a:t>
                </a:r>
                <a:r>
                  <a:rPr lang="zh-CN" altLang="en-US"/>
                  <a:t>小时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68154431"/>
        <c:crosses val="autoZero"/>
        <c:crossBetween val="midCat"/>
      </c:valAx>
      <c:valAx>
        <c:axId val="26815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期末考试成绩 </a:t>
                </a:r>
                <a:r>
                  <a:rPr lang="en-US" altLang="zh-CN"/>
                  <a:t>(</a:t>
                </a:r>
                <a:r>
                  <a:rPr lang="zh-CN" altLang="en-US"/>
                  <a:t>分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1640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349250</xdr:colOff>
      <xdr:row>18</xdr:row>
      <xdr:rowOff>95250</xdr:rowOff>
    </xdr:from>
    <xdr:to>
      <xdr:col>19</xdr:col>
      <xdr:colOff>120650</xdr:colOff>
      <xdr:row>35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FF8088-0620-04A7-E134-DC7B0D8A73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20</xdr:row>
      <xdr:rowOff>95250</xdr:rowOff>
    </xdr:from>
    <xdr:to>
      <xdr:col>15</xdr:col>
      <xdr:colOff>342900</xdr:colOff>
      <xdr:row>37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51F01D-9A5F-443D-C3AC-574267873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377A10-95C4-3416-6E6D-B44E0B80E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3AE802-481F-2E85-4466-4861AFC735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4C9073-94F2-7150-066A-D263CE71B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800100</xdr:colOff>
      <xdr:row>1</xdr:row>
      <xdr:rowOff>50800</xdr:rowOff>
    </xdr:from>
    <xdr:to>
      <xdr:col>19</xdr:col>
      <xdr:colOff>190500</xdr:colOff>
      <xdr:row>13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B14B68-3A6C-25C6-50F3-34669DDB9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488950</xdr:colOff>
      <xdr:row>19</xdr:row>
      <xdr:rowOff>6350</xdr:rowOff>
    </xdr:from>
    <xdr:to>
      <xdr:col>15</xdr:col>
      <xdr:colOff>107950</xdr:colOff>
      <xdr:row>33</xdr:row>
      <xdr:rowOff>82550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46CB845-9E9A-C974-6110-82307D707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146050</xdr:colOff>
      <xdr:row>19</xdr:row>
      <xdr:rowOff>6350</xdr:rowOff>
    </xdr:from>
    <xdr:to>
      <xdr:col>20</xdr:col>
      <xdr:colOff>590550</xdr:colOff>
      <xdr:row>33</xdr:row>
      <xdr:rowOff>82550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89D9DD0-9296-0D70-23AA-48B46B025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501650</xdr:colOff>
      <xdr:row>33</xdr:row>
      <xdr:rowOff>120650</xdr:rowOff>
    </xdr:from>
    <xdr:to>
      <xdr:col>15</xdr:col>
      <xdr:colOff>120650</xdr:colOff>
      <xdr:row>48</xdr:row>
      <xdr:rowOff>6350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6A797CD-2487-4D3F-2ED4-DC1A6A37E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133350</xdr:colOff>
      <xdr:row>33</xdr:row>
      <xdr:rowOff>120650</xdr:rowOff>
    </xdr:from>
    <xdr:to>
      <xdr:col>20</xdr:col>
      <xdr:colOff>577850</xdr:colOff>
      <xdr:row>48</xdr:row>
      <xdr:rowOff>6350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3819A4A-85A4-26ED-C820-AC38E440F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527050</xdr:colOff>
      <xdr:row>34</xdr:row>
      <xdr:rowOff>19050</xdr:rowOff>
    </xdr:from>
    <xdr:to>
      <xdr:col>15</xdr:col>
      <xdr:colOff>146050</xdr:colOff>
      <xdr:row>48</xdr:row>
      <xdr:rowOff>95250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2964007-D562-11D2-66F9-495C58C616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546101</xdr:colOff>
      <xdr:row>49</xdr:row>
      <xdr:rowOff>165099</xdr:rowOff>
    </xdr:from>
    <xdr:to>
      <xdr:col>15</xdr:col>
      <xdr:colOff>165101</xdr:colOff>
      <xdr:row>63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9AF37B-9CF9-DA40-A6E4-1152BA5AC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349250</xdr:colOff>
      <xdr:row>15</xdr:row>
      <xdr:rowOff>6350</xdr:rowOff>
    </xdr:from>
    <xdr:to>
      <xdr:col>19</xdr:col>
      <xdr:colOff>120650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B1E4C6-5E91-8871-8F4B-BC8B0CD692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AAE01B-A473-8845-AEC6-9F69879B1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34DF40-E8DC-950E-2B0C-4DA38FA9D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5955;&#28857;&#22270;&#19981;&#21516;&#39068;&#33394;&#34920;&#31034;.xlsx" TargetMode="External"/><Relationship Id="rId2" Type="http://schemas.openxmlformats.org/officeDocument/2006/relationships/externalLinkPath" Target="/Users/littledogliu/Desktop/&#25955;&#28857;&#22270;&#19981;&#21516;&#39068;&#33394;&#34920;&#31034;.xlsx" TargetMode="External"/><Relationship Id="rId1" Type="http://schemas.openxmlformats.org/officeDocument/2006/relationships/externalLinkPath" Target="/Users/littledogliu/Desktop/&#25955;&#28857;&#22270;&#19981;&#21516;&#39068;&#33394;&#34920;&#310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B1" t="str">
            <v>zy</v>
          </cell>
        </row>
        <row r="2">
          <cell r="A2">
            <v>1.2233011428679175</v>
          </cell>
          <cell r="B2">
            <v>0.97835222248348708</v>
          </cell>
        </row>
        <row r="3">
          <cell r="A3">
            <v>0.68005521210366082</v>
          </cell>
          <cell r="B3">
            <v>0.28305795552308843</v>
          </cell>
        </row>
        <row r="4">
          <cell r="A4">
            <v>-0.29557013294235102</v>
          </cell>
          <cell r="B4">
            <v>8.5996922492471359E-3</v>
          </cell>
        </row>
        <row r="5">
          <cell r="A5">
            <v>4.8116068153402095E-2</v>
          </cell>
          <cell r="B5">
            <v>0.81367726451918132</v>
          </cell>
        </row>
        <row r="6">
          <cell r="A6">
            <v>1.2787344011091679</v>
          </cell>
          <cell r="B6">
            <v>1.426634052497427</v>
          </cell>
        </row>
        <row r="7">
          <cell r="A7">
            <v>0</v>
          </cell>
          <cell r="B7">
            <v>-0.45797935531628253</v>
          </cell>
        </row>
        <row r="8">
          <cell r="A8">
            <v>1.7111138153909202</v>
          </cell>
          <cell r="B8">
            <v>1.6644978806680903</v>
          </cell>
        </row>
        <row r="9">
          <cell r="A9">
            <v>0.18115588793240545</v>
          </cell>
          <cell r="B9">
            <v>0.65815091533067227</v>
          </cell>
        </row>
        <row r="10">
          <cell r="A10">
            <v>1.0680880197924152</v>
          </cell>
          <cell r="B10">
            <v>1.1155813541204078</v>
          </cell>
        </row>
        <row r="11">
          <cell r="A11">
            <v>0.70222851540015985</v>
          </cell>
          <cell r="B11">
            <v>0</v>
          </cell>
        </row>
        <row r="12">
          <cell r="A12">
            <v>1.3563409626469176</v>
          </cell>
          <cell r="B12">
            <v>1.2345132682057387</v>
          </cell>
        </row>
        <row r="13">
          <cell r="A13">
            <v>1.4117742208881683</v>
          </cell>
          <cell r="B13">
            <v>0.61240787145169873</v>
          </cell>
        </row>
        <row r="14">
          <cell r="A14">
            <v>-8.4923751625598093E-2</v>
          </cell>
          <cell r="B14">
            <v>0.43858430471159876</v>
          </cell>
        </row>
        <row r="15">
          <cell r="A15">
            <v>1.023741413199414</v>
          </cell>
          <cell r="B15">
            <v>0.62155648022749288</v>
          </cell>
        </row>
        <row r="16">
          <cell r="A16">
            <v>0.48049548243515744</v>
          </cell>
          <cell r="B16">
            <v>0.31050378185047295</v>
          </cell>
        </row>
        <row r="17">
          <cell r="A17">
            <v>1.0570013681441657</v>
          </cell>
          <cell r="B17">
            <v>0.66729952410646642</v>
          </cell>
        </row>
        <row r="18">
          <cell r="A18">
            <v>1.8885002417629246</v>
          </cell>
          <cell r="B18">
            <v>1.9115103176145465</v>
          </cell>
        </row>
        <row r="19">
          <cell r="A19">
            <v>0.94613485166166433</v>
          </cell>
          <cell r="B19">
            <v>1.6187548367891167</v>
          </cell>
        </row>
        <row r="20">
          <cell r="A20">
            <v>1.4672074791294187</v>
          </cell>
          <cell r="B20">
            <v>1.3259993559636858</v>
          </cell>
        </row>
        <row r="21">
          <cell r="A21">
            <v>0.54701539232465757</v>
          </cell>
          <cell r="B21">
            <v>0.63070508900328714</v>
          </cell>
        </row>
        <row r="22">
          <cell r="A22">
            <v>-5.1663796680846467E-2</v>
          </cell>
          <cell r="B22">
            <v>1.0332438751382549</v>
          </cell>
        </row>
        <row r="23">
          <cell r="A23">
            <v>0.71331516704840936</v>
          </cell>
          <cell r="B23">
            <v>1.1430271804477916</v>
          </cell>
        </row>
        <row r="24">
          <cell r="A24">
            <v>0.83526833517916321</v>
          </cell>
          <cell r="B24">
            <v>0.90516335227712841</v>
          </cell>
        </row>
        <row r="25">
          <cell r="A25">
            <v>-0.43969660436960067</v>
          </cell>
          <cell r="B25">
            <v>0.4568815222631884</v>
          </cell>
        </row>
        <row r="26">
          <cell r="A26">
            <v>1.5780739956119201</v>
          </cell>
          <cell r="B26">
            <v>1.4083368349458374</v>
          </cell>
        </row>
        <row r="27">
          <cell r="A27">
            <v>-1.4707552076568631</v>
          </cell>
          <cell r="B27">
            <v>-1.3545430153441644</v>
          </cell>
        </row>
        <row r="28">
          <cell r="A28">
            <v>-0.92750927689260665</v>
          </cell>
          <cell r="B28">
            <v>-0.84222092389966063</v>
          </cell>
        </row>
        <row r="29">
          <cell r="A29">
            <v>-0.48404321096260178</v>
          </cell>
          <cell r="B29">
            <v>-0.20181830959403091</v>
          </cell>
        </row>
        <row r="30">
          <cell r="A30">
            <v>-0.18470361645984981</v>
          </cell>
          <cell r="B30">
            <v>-0.59520848695320316</v>
          </cell>
        </row>
        <row r="31">
          <cell r="A31">
            <v>-2.08052104831062</v>
          </cell>
          <cell r="B31">
            <v>-1.8302706716854888</v>
          </cell>
        </row>
        <row r="32">
          <cell r="A32">
            <v>-0.93859592854085616</v>
          </cell>
          <cell r="B32">
            <v>-0.56776266062581926</v>
          </cell>
        </row>
        <row r="33">
          <cell r="A33">
            <v>-0.68360294063110527</v>
          </cell>
          <cell r="B33">
            <v>-0.20181830959403091</v>
          </cell>
        </row>
        <row r="34">
          <cell r="A34">
            <v>-1.382061994470861</v>
          </cell>
          <cell r="B34">
            <v>-1.7753790190307213</v>
          </cell>
        </row>
        <row r="35">
          <cell r="A35">
            <v>-0.86098936700310658</v>
          </cell>
          <cell r="B35">
            <v>-1.1441250135008858</v>
          </cell>
        </row>
        <row r="36">
          <cell r="A36">
            <v>-0.87207601865135598</v>
          </cell>
          <cell r="B36">
            <v>-0.93370701165760772</v>
          </cell>
        </row>
        <row r="37">
          <cell r="A37">
            <v>-1.1935889164506102</v>
          </cell>
          <cell r="B37">
            <v>-1.391137450447343</v>
          </cell>
        </row>
        <row r="38">
          <cell r="A38">
            <v>-1.6481416340288644</v>
          </cell>
          <cell r="B38">
            <v>-1.1441250135008858</v>
          </cell>
        </row>
        <row r="39">
          <cell r="A39">
            <v>-1.12706900656111</v>
          </cell>
          <cell r="B39">
            <v>0.43858430471159876</v>
          </cell>
        </row>
        <row r="40">
          <cell r="A40">
            <v>-5.1663796680846467E-2</v>
          </cell>
          <cell r="B40">
            <v>-0.64095153083217671</v>
          </cell>
        </row>
        <row r="41">
          <cell r="A41">
            <v>-1.1048957032646078</v>
          </cell>
          <cell r="B41">
            <v>-1.2173138837072439</v>
          </cell>
        </row>
        <row r="42">
          <cell r="A42">
            <v>-0.87207601865135598</v>
          </cell>
          <cell r="B42">
            <v>-0.88796396777863418</v>
          </cell>
        </row>
        <row r="43">
          <cell r="A43">
            <v>-1.1159823549128605</v>
          </cell>
          <cell r="B43">
            <v>-0.64095153083217671</v>
          </cell>
        </row>
        <row r="44">
          <cell r="A44">
            <v>0.1035493263946527</v>
          </cell>
          <cell r="B44">
            <v>-0.8330723151238657</v>
          </cell>
        </row>
        <row r="45">
          <cell r="A45">
            <v>-0.6281696823898546</v>
          </cell>
          <cell r="B45">
            <v>-1.2630569275862173</v>
          </cell>
        </row>
        <row r="46">
          <cell r="A46">
            <v>-0.46186990766610281</v>
          </cell>
          <cell r="B46">
            <v>-0.93370701165760772</v>
          </cell>
        </row>
        <row r="47">
          <cell r="A47">
            <v>-0.38426334612835011</v>
          </cell>
          <cell r="B47">
            <v>-0.65924874838376635</v>
          </cell>
        </row>
        <row r="48">
          <cell r="A48">
            <v>-0.9607692318373583</v>
          </cell>
          <cell r="B48">
            <v>-0.47627657286787223</v>
          </cell>
        </row>
        <row r="49">
          <cell r="A49">
            <v>0.52484208902815854</v>
          </cell>
          <cell r="B49">
            <v>0</v>
          </cell>
        </row>
        <row r="50">
          <cell r="A50">
            <v>-0.78338280546535699</v>
          </cell>
          <cell r="B50">
            <v>-0.93370701165760772</v>
          </cell>
        </row>
        <row r="51">
          <cell r="A51">
            <v>0.28093575276665717</v>
          </cell>
          <cell r="B51">
            <v>-0.75073483614171355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4A33F-4513-0C48-9CBC-01882968D6AC}">
  <sheetPr codeName="Sheet1">
    <outlinePr summaryBelow="0" summaryRight="0"/>
  </sheetPr>
  <dimension ref="A1:B51"/>
  <sheetViews>
    <sheetView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1" t="s">
        <v>0</v>
      </c>
      <c r="B1" s="1" t="s">
        <v>1</v>
      </c>
    </row>
    <row r="2" spans="1:2" ht="13" customHeight="1">
      <c r="A2" s="2">
        <v>1498.16</v>
      </c>
      <c r="B2" s="2">
        <v>6.37</v>
      </c>
    </row>
    <row r="3" spans="1:2" ht="13" customHeight="1">
      <c r="A3" s="2">
        <v>3802.86</v>
      </c>
      <c r="B3" s="2">
        <v>-9.4600000000000009</v>
      </c>
    </row>
    <row r="4" spans="1:2" ht="13" customHeight="1">
      <c r="A4" s="2">
        <v>2927.98</v>
      </c>
      <c r="B4" s="2">
        <v>-4.21</v>
      </c>
    </row>
    <row r="5" spans="1:2" ht="13" customHeight="1">
      <c r="A5" s="2">
        <v>2394.63</v>
      </c>
      <c r="B5" s="2">
        <v>-1.02</v>
      </c>
    </row>
    <row r="6" spans="1:2" ht="13" customHeight="1">
      <c r="A6" s="2">
        <v>624.07000000000005</v>
      </c>
      <c r="B6" s="2">
        <v>8.73</v>
      </c>
    </row>
    <row r="7" spans="1:2" ht="13" customHeight="1">
      <c r="A7" s="2">
        <v>623.98</v>
      </c>
      <c r="B7" s="2">
        <v>9.86</v>
      </c>
    </row>
    <row r="8" spans="1:2" ht="13" customHeight="1">
      <c r="A8" s="2">
        <v>232.33</v>
      </c>
      <c r="B8" s="2">
        <v>12.8</v>
      </c>
    </row>
    <row r="9" spans="1:2" ht="13" customHeight="1">
      <c r="A9" s="2">
        <v>3464.7</v>
      </c>
      <c r="B9" s="2">
        <v>-5.93</v>
      </c>
    </row>
    <row r="10" spans="1:2" ht="13" customHeight="1">
      <c r="A10" s="2">
        <v>2404.46</v>
      </c>
      <c r="B10" s="2">
        <v>-0.11</v>
      </c>
    </row>
    <row r="11" spans="1:2" ht="13" customHeight="1">
      <c r="A11" s="2">
        <v>2832.29</v>
      </c>
      <c r="B11" s="2">
        <v>-6.05</v>
      </c>
    </row>
    <row r="12" spans="1:2" ht="13" customHeight="1">
      <c r="A12" s="2">
        <v>82.34</v>
      </c>
      <c r="B12" s="2">
        <v>14.95</v>
      </c>
    </row>
    <row r="13" spans="1:2" ht="13" customHeight="1">
      <c r="A13" s="2">
        <v>3879.64</v>
      </c>
      <c r="B13" s="2">
        <v>-10.8</v>
      </c>
    </row>
    <row r="14" spans="1:2" ht="13" customHeight="1">
      <c r="A14" s="2">
        <v>3329.77</v>
      </c>
      <c r="B14" s="2">
        <v>-7.66</v>
      </c>
    </row>
    <row r="15" spans="1:2" ht="13" customHeight="1">
      <c r="A15" s="2">
        <v>849.36</v>
      </c>
      <c r="B15" s="2">
        <v>10.4</v>
      </c>
    </row>
    <row r="16" spans="1:2" ht="13" customHeight="1">
      <c r="A16" s="2">
        <v>727.3</v>
      </c>
      <c r="B16" s="2">
        <v>11.82</v>
      </c>
    </row>
    <row r="17" spans="1:2" ht="13" customHeight="1">
      <c r="A17" s="2">
        <v>733.62</v>
      </c>
      <c r="B17" s="2">
        <v>11.63</v>
      </c>
    </row>
    <row r="18" spans="1:2" ht="13" customHeight="1">
      <c r="A18" s="2">
        <v>1216.97</v>
      </c>
      <c r="B18" s="2">
        <v>5.83</v>
      </c>
    </row>
    <row r="19" spans="1:2" ht="13" customHeight="1">
      <c r="A19" s="2">
        <v>2099.0300000000002</v>
      </c>
      <c r="B19" s="2">
        <v>0.89</v>
      </c>
    </row>
    <row r="20" spans="1:2" ht="13" customHeight="1">
      <c r="A20" s="2">
        <v>1727.78</v>
      </c>
      <c r="B20" s="2">
        <v>4.2699999999999996</v>
      </c>
    </row>
    <row r="21" spans="1:2" ht="13" customHeight="1">
      <c r="A21" s="2">
        <v>1164.92</v>
      </c>
      <c r="B21" s="2">
        <v>8.89</v>
      </c>
    </row>
    <row r="22" spans="1:2" ht="13" customHeight="1">
      <c r="A22" s="2">
        <v>2447.41</v>
      </c>
      <c r="B22" s="2">
        <v>-1.63</v>
      </c>
    </row>
    <row r="23" spans="1:2" ht="13" customHeight="1">
      <c r="A23" s="2">
        <v>557.98</v>
      </c>
      <c r="B23" s="2">
        <v>11.09</v>
      </c>
    </row>
    <row r="24" spans="1:2" ht="13" customHeight="1">
      <c r="A24" s="2">
        <v>1168.58</v>
      </c>
      <c r="B24" s="2">
        <v>5.74</v>
      </c>
    </row>
    <row r="25" spans="1:2" ht="13" customHeight="1">
      <c r="A25" s="2">
        <v>1465.45</v>
      </c>
      <c r="B25" s="2">
        <v>3.68</v>
      </c>
    </row>
    <row r="26" spans="1:2" ht="13" customHeight="1">
      <c r="A26" s="2">
        <v>1824.28</v>
      </c>
      <c r="B26" s="2">
        <v>4.3600000000000003</v>
      </c>
    </row>
    <row r="27" spans="1:2" ht="13" customHeight="1">
      <c r="A27" s="2">
        <v>3140.7</v>
      </c>
      <c r="B27" s="2">
        <v>-3.38</v>
      </c>
    </row>
    <row r="28" spans="1:2" ht="13" customHeight="1">
      <c r="A28" s="2">
        <v>798.7</v>
      </c>
      <c r="B28" s="2">
        <v>9.6999999999999993</v>
      </c>
    </row>
    <row r="29" spans="1:2" ht="13" customHeight="1">
      <c r="A29" s="2">
        <v>2056.94</v>
      </c>
      <c r="B29" s="2">
        <v>3.14</v>
      </c>
    </row>
    <row r="30" spans="1:2" ht="13" customHeight="1">
      <c r="A30" s="2">
        <v>2369.66</v>
      </c>
      <c r="B30" s="2">
        <v>0.14000000000000001</v>
      </c>
    </row>
    <row r="31" spans="1:2" ht="13" customHeight="1">
      <c r="A31" s="2">
        <v>185.8</v>
      </c>
      <c r="B31" s="2">
        <v>12.82</v>
      </c>
    </row>
    <row r="32" spans="1:2" ht="13" customHeight="1">
      <c r="A32" s="2">
        <v>2430.1799999999998</v>
      </c>
      <c r="B32" s="2">
        <v>-0.25</v>
      </c>
    </row>
    <row r="33" spans="1:2" ht="13" customHeight="1">
      <c r="A33" s="2">
        <v>682.1</v>
      </c>
      <c r="B33" s="2">
        <v>12.87</v>
      </c>
    </row>
    <row r="34" spans="1:2" ht="13" customHeight="1">
      <c r="A34" s="2">
        <v>260.20999999999998</v>
      </c>
      <c r="B34" s="2">
        <v>13.25</v>
      </c>
    </row>
    <row r="35" spans="1:2" ht="13" customHeight="1">
      <c r="A35" s="2">
        <v>3795.54</v>
      </c>
      <c r="B35" s="2">
        <v>-7.32</v>
      </c>
    </row>
    <row r="36" spans="1:2" ht="13" customHeight="1">
      <c r="A36" s="2">
        <v>3862.53</v>
      </c>
      <c r="B36" s="2">
        <v>-14.04</v>
      </c>
    </row>
    <row r="37" spans="1:2" ht="13" customHeight="1">
      <c r="A37" s="2">
        <v>3233.59</v>
      </c>
      <c r="B37" s="2">
        <v>-4.79</v>
      </c>
    </row>
    <row r="38" spans="1:2" ht="13" customHeight="1">
      <c r="A38" s="2">
        <v>1218.46</v>
      </c>
      <c r="B38" s="2">
        <v>7.21</v>
      </c>
    </row>
    <row r="39" spans="1:2" ht="13" customHeight="1">
      <c r="A39" s="2">
        <v>390.69</v>
      </c>
      <c r="B39" s="2">
        <v>12.01</v>
      </c>
    </row>
    <row r="40" spans="1:2" ht="13" customHeight="1">
      <c r="A40" s="2">
        <v>2736.93</v>
      </c>
      <c r="B40" s="2">
        <v>-2.65</v>
      </c>
    </row>
    <row r="41" spans="1:2" ht="13" customHeight="1">
      <c r="A41" s="2">
        <v>1760.61</v>
      </c>
      <c r="B41" s="2">
        <v>0.56999999999999995</v>
      </c>
    </row>
    <row r="42" spans="1:2" ht="13" customHeight="1">
      <c r="A42" s="2">
        <v>488.15</v>
      </c>
      <c r="B42" s="2">
        <v>11.5</v>
      </c>
    </row>
    <row r="43" spans="1:2" ht="13" customHeight="1">
      <c r="A43" s="2">
        <v>1980.71</v>
      </c>
      <c r="B43" s="2">
        <v>2.66</v>
      </c>
    </row>
    <row r="44" spans="1:2" ht="13" customHeight="1">
      <c r="A44" s="2">
        <v>137.55000000000001</v>
      </c>
      <c r="B44" s="2">
        <v>16.32</v>
      </c>
    </row>
    <row r="45" spans="1:2" ht="13" customHeight="1">
      <c r="A45" s="2">
        <v>3637.28</v>
      </c>
      <c r="B45" s="2">
        <v>-9.42</v>
      </c>
    </row>
    <row r="46" spans="1:2" ht="13" customHeight="1">
      <c r="A46" s="2">
        <v>1035.1199999999999</v>
      </c>
      <c r="B46" s="2">
        <v>7.06</v>
      </c>
    </row>
    <row r="47" spans="1:2" ht="13" customHeight="1">
      <c r="A47" s="2">
        <v>2650.09</v>
      </c>
      <c r="B47" s="2">
        <v>-2.98</v>
      </c>
    </row>
    <row r="48" spans="1:2" ht="13" customHeight="1">
      <c r="A48" s="2">
        <v>1246.8399999999999</v>
      </c>
      <c r="B48" s="2">
        <v>8.27</v>
      </c>
    </row>
    <row r="49" spans="1:2" ht="13" customHeight="1">
      <c r="A49" s="2">
        <v>2080.27</v>
      </c>
      <c r="B49" s="2">
        <v>1.97</v>
      </c>
    </row>
    <row r="50" spans="1:2" ht="13" customHeight="1">
      <c r="A50" s="2">
        <v>2186.84</v>
      </c>
      <c r="B50" s="2">
        <v>-0.01</v>
      </c>
    </row>
    <row r="51" spans="1:2" ht="13" customHeight="1">
      <c r="A51" s="2">
        <v>739.42</v>
      </c>
      <c r="B51" s="2">
        <v>10.96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E81B-7469-9243-88ED-4315EFB1F066}">
  <sheetPr codeName="Sheet2">
    <outlinePr summaryBelow="0" summaryRight="0"/>
  </sheetPr>
  <dimension ref="A1:B51"/>
  <sheetViews>
    <sheetView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3" t="s">
        <v>2</v>
      </c>
      <c r="B1" s="3" t="s">
        <v>3</v>
      </c>
    </row>
    <row r="2" spans="1:2" ht="13" customHeight="1">
      <c r="A2" s="2">
        <v>740.9</v>
      </c>
      <c r="B2" s="2">
        <v>321</v>
      </c>
    </row>
    <row r="3" spans="1:2" ht="13" customHeight="1">
      <c r="A3" s="2">
        <v>570.79999999999995</v>
      </c>
      <c r="B3" s="2">
        <v>200</v>
      </c>
    </row>
    <row r="4" spans="1:2" ht="13" customHeight="1">
      <c r="A4" s="2">
        <v>579.51</v>
      </c>
      <c r="B4" s="2">
        <v>349.85</v>
      </c>
    </row>
    <row r="5" spans="1:2" ht="13" customHeight="1">
      <c r="A5" s="2">
        <v>739.64</v>
      </c>
      <c r="B5" s="2">
        <v>292.02</v>
      </c>
    </row>
    <row r="6" spans="1:2" ht="13" customHeight="1">
      <c r="A6" s="2">
        <v>449.73</v>
      </c>
      <c r="B6" s="2">
        <v>174.97</v>
      </c>
    </row>
    <row r="7" spans="1:2" ht="13" customHeight="1">
      <c r="A7" s="2">
        <v>500.86</v>
      </c>
      <c r="B7" s="2">
        <v>214.37</v>
      </c>
    </row>
    <row r="8" spans="1:2" ht="13" customHeight="1">
      <c r="A8" s="2">
        <v>430.08</v>
      </c>
      <c r="B8" s="2">
        <v>200.77</v>
      </c>
    </row>
    <row r="9" spans="1:2" ht="13" customHeight="1">
      <c r="A9" s="2">
        <v>696.35</v>
      </c>
      <c r="B9" s="2">
        <v>284.29000000000002</v>
      </c>
    </row>
    <row r="10" spans="1:2" ht="13" customHeight="1">
      <c r="A10" s="2">
        <v>644.54999999999995</v>
      </c>
      <c r="B10" s="2">
        <v>344.18</v>
      </c>
    </row>
    <row r="11" spans="1:2" ht="13" customHeight="1">
      <c r="A11" s="2">
        <v>696.19</v>
      </c>
      <c r="B11" s="2">
        <v>324.73</v>
      </c>
    </row>
    <row r="12" spans="1:2" ht="13" customHeight="1">
      <c r="A12" s="2">
        <v>492.48</v>
      </c>
      <c r="B12" s="2">
        <v>128.94</v>
      </c>
    </row>
    <row r="13" spans="1:2" ht="13" customHeight="1">
      <c r="A13" s="2">
        <v>502.74</v>
      </c>
      <c r="B13" s="2">
        <v>188.24</v>
      </c>
    </row>
    <row r="14" spans="1:2" ht="13" customHeight="1">
      <c r="A14" s="2">
        <v>587.20000000000005</v>
      </c>
      <c r="B14" s="2">
        <v>224.48</v>
      </c>
    </row>
    <row r="15" spans="1:2" ht="13" customHeight="1">
      <c r="A15" s="2">
        <v>606.20000000000005</v>
      </c>
      <c r="B15" s="2">
        <v>253.69</v>
      </c>
    </row>
    <row r="16" spans="1:2" ht="13" customHeight="1">
      <c r="A16" s="2">
        <v>337.75</v>
      </c>
      <c r="B16" s="2">
        <v>150</v>
      </c>
    </row>
    <row r="17" spans="1:2" ht="13" customHeight="1">
      <c r="A17" s="2">
        <v>556.25</v>
      </c>
      <c r="B17" s="2">
        <v>169.83</v>
      </c>
    </row>
    <row r="18" spans="1:2" ht="13" customHeight="1">
      <c r="A18" s="2">
        <v>771.09</v>
      </c>
      <c r="B18" s="2">
        <v>352.15</v>
      </c>
    </row>
    <row r="19" spans="1:2" ht="13" customHeight="1">
      <c r="A19" s="2">
        <v>599.04999999999995</v>
      </c>
      <c r="B19" s="2">
        <v>248.74</v>
      </c>
    </row>
    <row r="20" spans="1:2" ht="13" customHeight="1">
      <c r="A20" s="2">
        <v>505.03</v>
      </c>
      <c r="B20" s="2">
        <v>221.26</v>
      </c>
    </row>
    <row r="21" spans="1:2" ht="13" customHeight="1">
      <c r="A21" s="2">
        <v>561.91</v>
      </c>
      <c r="B21" s="2">
        <v>307.04000000000002</v>
      </c>
    </row>
    <row r="22" spans="1:2" ht="13" customHeight="1">
      <c r="A22" s="2">
        <v>592.21</v>
      </c>
      <c r="B22" s="2">
        <v>239.82</v>
      </c>
    </row>
    <row r="23" spans="1:2" ht="13" customHeight="1">
      <c r="A23" s="2">
        <v>784.02</v>
      </c>
      <c r="B23" s="2">
        <v>291.66000000000003</v>
      </c>
    </row>
    <row r="24" spans="1:2" ht="13" customHeight="1">
      <c r="A24" s="2">
        <v>777.08</v>
      </c>
      <c r="B24" s="2">
        <v>364.98</v>
      </c>
    </row>
    <row r="25" spans="1:2" ht="13" customHeight="1">
      <c r="A25" s="2">
        <v>539.58000000000004</v>
      </c>
      <c r="B25" s="2">
        <v>244.37</v>
      </c>
    </row>
    <row r="26" spans="1:2" ht="13" customHeight="1">
      <c r="A26" s="2">
        <v>542.15</v>
      </c>
      <c r="B26" s="2">
        <v>315.64999999999998</v>
      </c>
    </row>
    <row r="27" spans="1:2" ht="13" customHeight="1">
      <c r="A27" s="2">
        <v>547.38</v>
      </c>
      <c r="B27" s="2">
        <v>278.05</v>
      </c>
    </row>
    <row r="28" spans="1:2" ht="13" customHeight="1">
      <c r="A28" s="2">
        <v>546.72</v>
      </c>
      <c r="B28" s="2">
        <v>153.53</v>
      </c>
    </row>
    <row r="29" spans="1:2" ht="13" customHeight="1">
      <c r="A29" s="2">
        <v>380.58</v>
      </c>
      <c r="B29" s="2">
        <v>129.9</v>
      </c>
    </row>
    <row r="30" spans="1:2" ht="13" customHeight="1">
      <c r="A30" s="2">
        <v>784.56</v>
      </c>
      <c r="B30" s="2">
        <v>307.91000000000003</v>
      </c>
    </row>
    <row r="31" spans="1:2" ht="13" customHeight="1">
      <c r="A31" s="2">
        <v>636.33000000000004</v>
      </c>
      <c r="B31" s="2">
        <v>288.18</v>
      </c>
    </row>
    <row r="32" spans="1:2" ht="13" customHeight="1">
      <c r="A32" s="2">
        <v>347.46</v>
      </c>
      <c r="B32" s="2">
        <v>205.22</v>
      </c>
    </row>
    <row r="33" spans="1:2" ht="13" customHeight="1">
      <c r="A33" s="2">
        <v>573.66</v>
      </c>
      <c r="B33" s="2">
        <v>250</v>
      </c>
    </row>
    <row r="34" spans="1:2" ht="13" customHeight="1">
      <c r="A34" s="2">
        <v>660.38</v>
      </c>
      <c r="B34" s="2">
        <v>365.67</v>
      </c>
    </row>
    <row r="35" spans="1:2" ht="13" customHeight="1">
      <c r="A35" s="2">
        <v>570.62</v>
      </c>
      <c r="B35" s="2">
        <v>270.86</v>
      </c>
    </row>
    <row r="36" spans="1:2" ht="13" customHeight="1">
      <c r="A36" s="2">
        <v>567.67999999999995</v>
      </c>
      <c r="B36" s="2">
        <v>244.36</v>
      </c>
    </row>
    <row r="37" spans="1:2" ht="13" customHeight="1">
      <c r="A37" s="2">
        <v>528.21</v>
      </c>
      <c r="B37" s="2">
        <v>292.63</v>
      </c>
    </row>
    <row r="38" spans="1:2" ht="13" customHeight="1">
      <c r="A38" s="2">
        <v>842.12</v>
      </c>
      <c r="B38" s="2">
        <v>335.6</v>
      </c>
    </row>
    <row r="39" spans="1:2" ht="13" customHeight="1">
      <c r="A39" s="2">
        <v>541.53</v>
      </c>
      <c r="B39" s="2">
        <v>252.49</v>
      </c>
    </row>
    <row r="40" spans="1:2" ht="13" customHeight="1">
      <c r="A40" s="2">
        <v>722.65</v>
      </c>
      <c r="B40" s="2">
        <v>255.03</v>
      </c>
    </row>
    <row r="41" spans="1:2" ht="13" customHeight="1">
      <c r="A41" s="2">
        <v>839.5</v>
      </c>
      <c r="B41" s="2">
        <v>298.3</v>
      </c>
    </row>
    <row r="42" spans="1:2" ht="13" customHeight="1">
      <c r="A42" s="2">
        <v>487.35</v>
      </c>
      <c r="B42" s="2">
        <v>189.46</v>
      </c>
    </row>
    <row r="43" spans="1:2" ht="13" customHeight="1">
      <c r="A43" s="2">
        <v>615.94000000000005</v>
      </c>
      <c r="B43" s="2">
        <v>308.08999999999997</v>
      </c>
    </row>
    <row r="44" spans="1:2" ht="13" customHeight="1">
      <c r="A44" s="2">
        <v>480.72</v>
      </c>
      <c r="B44" s="2">
        <v>180</v>
      </c>
    </row>
    <row r="45" spans="1:2" ht="13" customHeight="1">
      <c r="A45" s="2">
        <v>577.88</v>
      </c>
      <c r="B45" s="2">
        <v>192.98</v>
      </c>
    </row>
    <row r="46" spans="1:2" ht="13" customHeight="1">
      <c r="A46" s="2">
        <v>637.4</v>
      </c>
      <c r="B46" s="2">
        <v>320.88</v>
      </c>
    </row>
    <row r="47" spans="1:2" ht="13" customHeight="1">
      <c r="A47" s="2">
        <v>637.13</v>
      </c>
      <c r="B47" s="2">
        <v>187.95</v>
      </c>
    </row>
    <row r="48" spans="1:2" ht="13" customHeight="1">
      <c r="A48" s="2">
        <v>478.29</v>
      </c>
      <c r="B48" s="2">
        <v>163.02000000000001</v>
      </c>
    </row>
    <row r="49" spans="1:2" ht="13" customHeight="1">
      <c r="A49" s="2">
        <v>779.35</v>
      </c>
      <c r="B49" s="2">
        <v>378.14</v>
      </c>
    </row>
    <row r="50" spans="1:2" ht="13" customHeight="1">
      <c r="A50" s="2">
        <v>536.71</v>
      </c>
      <c r="B50" s="2">
        <v>232.24</v>
      </c>
    </row>
    <row r="51" spans="1:2" ht="13" customHeight="1">
      <c r="A51" s="2">
        <v>605.63</v>
      </c>
      <c r="B51" s="2">
        <v>150.43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0A0A-81A1-E846-9B52-06E3011A5B61}">
  <sheetPr codeName="Sheet3">
    <outlinePr summaryBelow="0" summaryRight="0"/>
  </sheetPr>
  <dimension ref="A1:B51"/>
  <sheetViews>
    <sheetView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4" t="s">
        <v>4</v>
      </c>
      <c r="B1" s="4" t="s">
        <v>5</v>
      </c>
    </row>
    <row r="2" spans="1:2" ht="13" customHeight="1">
      <c r="A2" s="2">
        <v>63.9</v>
      </c>
      <c r="B2" s="2">
        <v>10</v>
      </c>
    </row>
    <row r="3" spans="1:2" ht="13" customHeight="1">
      <c r="A3" s="2">
        <v>25.11</v>
      </c>
      <c r="B3" s="2">
        <v>45.39</v>
      </c>
    </row>
    <row r="4" spans="1:2" ht="13" customHeight="1">
      <c r="A4" s="2">
        <v>53.6</v>
      </c>
      <c r="B4" s="2">
        <v>28.87</v>
      </c>
    </row>
    <row r="5" spans="1:2" ht="13" customHeight="1">
      <c r="A5" s="2">
        <v>15.97</v>
      </c>
      <c r="B5" s="2">
        <v>38.659999999999997</v>
      </c>
    </row>
    <row r="6" spans="1:2" ht="13" customHeight="1">
      <c r="A6" s="2">
        <v>13.62</v>
      </c>
      <c r="B6" s="2">
        <v>45.25</v>
      </c>
    </row>
    <row r="7" spans="1:2" ht="13" customHeight="1">
      <c r="A7" s="2">
        <v>47.19</v>
      </c>
      <c r="B7" s="2">
        <v>32.72</v>
      </c>
    </row>
    <row r="8" spans="1:2" ht="13" customHeight="1">
      <c r="A8" s="2">
        <v>47.84</v>
      </c>
      <c r="B8" s="2">
        <v>29.01</v>
      </c>
    </row>
    <row r="9" spans="1:2" ht="13" customHeight="1">
      <c r="A9" s="2">
        <v>54.62</v>
      </c>
      <c r="B9" s="2">
        <v>24.45</v>
      </c>
    </row>
    <row r="10" spans="1:2" ht="13" customHeight="1">
      <c r="A10" s="2">
        <v>60.83</v>
      </c>
      <c r="B10" s="2">
        <v>13.51</v>
      </c>
    </row>
    <row r="11" spans="1:2" ht="13" customHeight="1">
      <c r="A11" s="2">
        <v>78.31</v>
      </c>
      <c r="B11" s="2">
        <v>10</v>
      </c>
    </row>
    <row r="12" spans="1:2" ht="13" customHeight="1">
      <c r="A12" s="2">
        <v>46.14</v>
      </c>
      <c r="B12" s="2">
        <v>34.04</v>
      </c>
    </row>
    <row r="13" spans="1:2" ht="13" customHeight="1">
      <c r="A13" s="2">
        <v>32.61</v>
      </c>
      <c r="B13" s="2">
        <v>42.4</v>
      </c>
    </row>
    <row r="14" spans="1:2" ht="13" customHeight="1">
      <c r="A14" s="2">
        <v>65.66</v>
      </c>
      <c r="B14" s="2">
        <v>10</v>
      </c>
    </row>
    <row r="15" spans="1:2" ht="13" customHeight="1">
      <c r="A15" s="2">
        <v>28.96</v>
      </c>
      <c r="B15" s="2">
        <v>46.59</v>
      </c>
    </row>
    <row r="16" spans="1:2" ht="13" customHeight="1">
      <c r="A16" s="2">
        <v>40.729999999999997</v>
      </c>
      <c r="B16" s="2">
        <v>43.57</v>
      </c>
    </row>
    <row r="17" spans="1:2" ht="13" customHeight="1">
      <c r="A17" s="2">
        <v>15.49</v>
      </c>
      <c r="B17" s="2">
        <v>39.03</v>
      </c>
    </row>
    <row r="18" spans="1:2" ht="13" customHeight="1">
      <c r="A18" s="2">
        <v>11.77</v>
      </c>
      <c r="B18" s="2">
        <v>47.03</v>
      </c>
    </row>
    <row r="19" spans="1:2" ht="13" customHeight="1">
      <c r="A19" s="2">
        <v>77.39</v>
      </c>
      <c r="B19" s="2">
        <v>10</v>
      </c>
    </row>
    <row r="20" spans="1:2" ht="13" customHeight="1">
      <c r="A20" s="2">
        <v>68.52</v>
      </c>
      <c r="B20" s="2">
        <v>10</v>
      </c>
    </row>
    <row r="21" spans="1:2" ht="13" customHeight="1">
      <c r="A21" s="2">
        <v>58.72</v>
      </c>
      <c r="B21" s="2">
        <v>18.34</v>
      </c>
    </row>
    <row r="22" spans="1:2" ht="13" customHeight="1">
      <c r="A22" s="2">
        <v>38.630000000000003</v>
      </c>
      <c r="B22" s="2">
        <v>41.2</v>
      </c>
    </row>
    <row r="23" spans="1:2" ht="13" customHeight="1">
      <c r="A23" s="2">
        <v>22.13</v>
      </c>
      <c r="B23" s="2">
        <v>42.93</v>
      </c>
    </row>
    <row r="24" spans="1:2" ht="13" customHeight="1">
      <c r="A24" s="2">
        <v>20.95</v>
      </c>
      <c r="B24" s="2">
        <v>43.97</v>
      </c>
    </row>
    <row r="25" spans="1:2" ht="13" customHeight="1">
      <c r="A25" s="2">
        <v>27.52</v>
      </c>
      <c r="B25" s="2">
        <v>43.36</v>
      </c>
    </row>
    <row r="26" spans="1:2" ht="13" customHeight="1">
      <c r="A26" s="2">
        <v>48.45</v>
      </c>
      <c r="B26" s="2">
        <v>29.49</v>
      </c>
    </row>
    <row r="27" spans="1:2" ht="13" customHeight="1">
      <c r="A27" s="2">
        <v>60.02</v>
      </c>
      <c r="B27" s="2">
        <v>16.89</v>
      </c>
    </row>
    <row r="28" spans="1:2" ht="13" customHeight="1">
      <c r="A28" s="2">
        <v>56.21</v>
      </c>
      <c r="B28" s="2">
        <v>21.71</v>
      </c>
    </row>
    <row r="29" spans="1:2" ht="13" customHeight="1">
      <c r="A29" s="2">
        <v>29.6</v>
      </c>
      <c r="B29" s="2">
        <v>42.39</v>
      </c>
    </row>
    <row r="30" spans="1:2" ht="13" customHeight="1">
      <c r="A30" s="2">
        <v>76.84</v>
      </c>
      <c r="B30" s="2">
        <v>10</v>
      </c>
    </row>
    <row r="31" spans="1:2" ht="13" customHeight="1">
      <c r="A31" s="2">
        <v>61.65</v>
      </c>
      <c r="B31" s="2">
        <v>12.34</v>
      </c>
    </row>
    <row r="32" spans="1:2" ht="13" customHeight="1">
      <c r="A32" s="2">
        <v>48.8</v>
      </c>
      <c r="B32" s="2">
        <v>33.270000000000003</v>
      </c>
    </row>
    <row r="33" spans="1:2" ht="13" customHeight="1">
      <c r="A33" s="2">
        <v>52.82</v>
      </c>
      <c r="B33" s="2">
        <v>27.54</v>
      </c>
    </row>
    <row r="34" spans="1:2" ht="13" customHeight="1">
      <c r="A34" s="2">
        <v>39.369999999999997</v>
      </c>
      <c r="B34" s="2">
        <v>37.35</v>
      </c>
    </row>
    <row r="35" spans="1:2" ht="13" customHeight="1">
      <c r="A35" s="2">
        <v>27.34</v>
      </c>
      <c r="B35" s="2">
        <v>43.18</v>
      </c>
    </row>
    <row r="36" spans="1:2" ht="13" customHeight="1">
      <c r="A36" s="2">
        <v>34.92</v>
      </c>
      <c r="B36" s="2">
        <v>44.78</v>
      </c>
    </row>
    <row r="37" spans="1:2" ht="13" customHeight="1">
      <c r="A37" s="2">
        <v>63.05</v>
      </c>
      <c r="B37" s="2">
        <v>10.64</v>
      </c>
    </row>
    <row r="38" spans="1:2" ht="13" customHeight="1">
      <c r="A38" s="2">
        <v>11.01</v>
      </c>
      <c r="B38" s="2">
        <v>40.04</v>
      </c>
    </row>
    <row r="39" spans="1:2" ht="13" customHeight="1">
      <c r="A39" s="2">
        <v>18.13</v>
      </c>
      <c r="B39" s="2">
        <v>44.17</v>
      </c>
    </row>
    <row r="40" spans="1:2" ht="13" customHeight="1">
      <c r="A40" s="2">
        <v>13.22</v>
      </c>
      <c r="B40" s="2">
        <v>45.36</v>
      </c>
    </row>
    <row r="41" spans="1:2" ht="13" customHeight="1">
      <c r="A41" s="2">
        <v>12.85</v>
      </c>
      <c r="B41" s="2">
        <v>39.54</v>
      </c>
    </row>
    <row r="42" spans="1:2" ht="13" customHeight="1">
      <c r="A42" s="2">
        <v>69.88</v>
      </c>
      <c r="B42" s="2">
        <v>10</v>
      </c>
    </row>
    <row r="43" spans="1:2" ht="13" customHeight="1">
      <c r="A43" s="2">
        <v>59.26</v>
      </c>
      <c r="B43" s="2">
        <v>15.06</v>
      </c>
    </row>
    <row r="44" spans="1:2" ht="13" customHeight="1">
      <c r="A44" s="2">
        <v>43.19</v>
      </c>
      <c r="B44" s="2">
        <v>36.07</v>
      </c>
    </row>
    <row r="45" spans="1:2" ht="13" customHeight="1">
      <c r="A45" s="2">
        <v>16.850000000000001</v>
      </c>
      <c r="B45" s="2">
        <v>46.64</v>
      </c>
    </row>
    <row r="46" spans="1:2" ht="13" customHeight="1">
      <c r="A46" s="2">
        <v>44.41</v>
      </c>
      <c r="B46" s="2">
        <v>38.049999999999997</v>
      </c>
    </row>
    <row r="47" spans="1:2" ht="13" customHeight="1">
      <c r="A47" s="2">
        <v>43.14</v>
      </c>
      <c r="B47" s="2">
        <v>39.21</v>
      </c>
    </row>
    <row r="48" spans="1:2" ht="13" customHeight="1">
      <c r="A48" s="2">
        <v>22.12</v>
      </c>
      <c r="B48" s="2">
        <v>48.71</v>
      </c>
    </row>
    <row r="49" spans="1:2" ht="13" customHeight="1">
      <c r="A49" s="2">
        <v>40.369999999999997</v>
      </c>
      <c r="B49" s="2">
        <v>39.159999999999997</v>
      </c>
    </row>
    <row r="50" spans="1:2" ht="13" customHeight="1">
      <c r="A50" s="2">
        <v>37.9</v>
      </c>
      <c r="B50" s="2">
        <v>42.89</v>
      </c>
    </row>
    <row r="51" spans="1:2" ht="13" customHeight="1">
      <c r="A51" s="2">
        <v>53.11</v>
      </c>
      <c r="B51" s="2">
        <v>24.32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88E5-8C10-5542-A050-075D2BF1F28F}">
  <sheetPr codeName="Sheet4">
    <outlinePr summaryBelow="0" summaryRight="0"/>
  </sheetPr>
  <dimension ref="A1:B51"/>
  <sheetViews>
    <sheetView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5" t="s">
        <v>6</v>
      </c>
      <c r="B1" s="5" t="s">
        <v>7</v>
      </c>
    </row>
    <row r="2" spans="1:2" ht="13" customHeight="1">
      <c r="A2" s="2">
        <v>0.1</v>
      </c>
      <c r="B2" s="2">
        <v>0.51</v>
      </c>
    </row>
    <row r="3" spans="1:2" ht="13" customHeight="1">
      <c r="A3" s="2">
        <v>0</v>
      </c>
      <c r="B3" s="2">
        <v>0.23</v>
      </c>
    </row>
    <row r="4" spans="1:2" ht="13" customHeight="1">
      <c r="A4" s="2">
        <v>0.23</v>
      </c>
      <c r="B4" s="2">
        <v>1.23</v>
      </c>
    </row>
    <row r="5" spans="1:2" ht="13" customHeight="1">
      <c r="A5" s="2">
        <v>0.02</v>
      </c>
      <c r="B5" s="2">
        <v>0.22</v>
      </c>
    </row>
    <row r="6" spans="1:2" ht="13" customHeight="1">
      <c r="A6" s="2">
        <v>0.08</v>
      </c>
      <c r="B6" s="2">
        <v>0.49</v>
      </c>
    </row>
    <row r="7" spans="1:2" ht="13" customHeight="1">
      <c r="A7" s="2">
        <v>0.24</v>
      </c>
      <c r="B7" s="2">
        <v>1.41</v>
      </c>
    </row>
    <row r="8" spans="1:2" ht="13" customHeight="1">
      <c r="A8" s="2">
        <v>0.24</v>
      </c>
      <c r="B8" s="2">
        <v>1.28</v>
      </c>
    </row>
    <row r="9" spans="1:2" ht="13" customHeight="1">
      <c r="A9" s="2">
        <v>0.14000000000000001</v>
      </c>
      <c r="B9" s="2">
        <v>0.74</v>
      </c>
    </row>
    <row r="10" spans="1:2" ht="13" customHeight="1">
      <c r="A10" s="2">
        <v>0.16</v>
      </c>
      <c r="B10" s="2">
        <v>0.84</v>
      </c>
    </row>
    <row r="11" spans="1:2" ht="13" customHeight="1">
      <c r="A11" s="2">
        <v>0.11</v>
      </c>
      <c r="B11" s="2">
        <v>0.54</v>
      </c>
    </row>
    <row r="12" spans="1:2" ht="13" customHeight="1">
      <c r="A12" s="2">
        <v>7.0000000000000007E-2</v>
      </c>
      <c r="B12" s="2">
        <v>0.44</v>
      </c>
    </row>
    <row r="13" spans="1:2" ht="13" customHeight="1">
      <c r="A13" s="2">
        <v>0.08</v>
      </c>
      <c r="B13" s="2">
        <v>0.46</v>
      </c>
    </row>
    <row r="14" spans="1:2" ht="13" customHeight="1">
      <c r="A14" s="2">
        <v>0.17</v>
      </c>
      <c r="B14" s="2">
        <v>0.85</v>
      </c>
    </row>
    <row r="15" spans="1:2" ht="13" customHeight="1">
      <c r="A15" s="2">
        <v>0.19</v>
      </c>
      <c r="B15" s="2">
        <v>0.89</v>
      </c>
    </row>
    <row r="16" spans="1:2" ht="13" customHeight="1">
      <c r="A16" s="2">
        <v>0.2</v>
      </c>
      <c r="B16" s="2">
        <v>1.02</v>
      </c>
    </row>
    <row r="17" spans="1:2" ht="13" customHeight="1">
      <c r="A17" s="2">
        <v>0.2</v>
      </c>
      <c r="B17" s="2">
        <v>1.05</v>
      </c>
    </row>
    <row r="18" spans="1:2" ht="13" customHeight="1">
      <c r="A18" s="2">
        <v>0.02</v>
      </c>
      <c r="B18" s="2">
        <v>0.41</v>
      </c>
    </row>
    <row r="19" spans="1:2" ht="13" customHeight="1">
      <c r="A19" s="2">
        <v>0.12</v>
      </c>
      <c r="B19" s="2">
        <v>0.7</v>
      </c>
    </row>
    <row r="20" spans="1:2" ht="13" customHeight="1">
      <c r="A20" s="2">
        <v>0.01</v>
      </c>
      <c r="B20" s="2">
        <v>0.45</v>
      </c>
    </row>
    <row r="21" spans="1:2" ht="13" customHeight="1">
      <c r="A21" s="2">
        <v>0.14000000000000001</v>
      </c>
      <c r="B21" s="2">
        <v>0.62</v>
      </c>
    </row>
    <row r="22" spans="1:2" ht="13" customHeight="1">
      <c r="A22" s="2">
        <v>0.11</v>
      </c>
      <c r="B22" s="2">
        <v>0.63</v>
      </c>
    </row>
    <row r="23" spans="1:2" ht="13" customHeight="1">
      <c r="A23" s="2">
        <v>0.22</v>
      </c>
      <c r="B23" s="2">
        <v>1.19</v>
      </c>
    </row>
    <row r="24" spans="1:2" ht="13" customHeight="1">
      <c r="A24" s="2">
        <v>0.09</v>
      </c>
      <c r="B24" s="2">
        <v>0.65</v>
      </c>
    </row>
    <row r="25" spans="1:2" ht="13" customHeight="1">
      <c r="A25" s="2">
        <v>0.03</v>
      </c>
      <c r="B25" s="2">
        <v>0.24</v>
      </c>
    </row>
    <row r="26" spans="1:2" ht="13" customHeight="1">
      <c r="A26" s="2">
        <v>0.04</v>
      </c>
      <c r="B26" s="2">
        <v>0.25</v>
      </c>
    </row>
    <row r="27" spans="1:2" ht="13" customHeight="1">
      <c r="A27" s="2">
        <v>0.19</v>
      </c>
      <c r="B27" s="2">
        <v>0.92</v>
      </c>
    </row>
    <row r="28" spans="1:2" ht="13" customHeight="1">
      <c r="A28" s="2">
        <v>0.15</v>
      </c>
      <c r="B28" s="2">
        <v>0.6</v>
      </c>
    </row>
    <row r="29" spans="1:2" ht="13" customHeight="1">
      <c r="A29" s="2">
        <v>0.03</v>
      </c>
      <c r="B29" s="2">
        <v>0.25</v>
      </c>
    </row>
    <row r="30" spans="1:2" ht="13" customHeight="1">
      <c r="A30" s="2">
        <v>0.02</v>
      </c>
      <c r="B30" s="2">
        <v>0.23</v>
      </c>
    </row>
    <row r="31" spans="1:2" ht="13" customHeight="1">
      <c r="A31" s="2">
        <v>0.18</v>
      </c>
      <c r="B31" s="2">
        <v>0.89</v>
      </c>
    </row>
    <row r="32" spans="1:2" ht="13" customHeight="1">
      <c r="A32" s="2">
        <v>0.02</v>
      </c>
      <c r="B32" s="2">
        <v>0.31</v>
      </c>
    </row>
    <row r="33" spans="1:2" ht="13" customHeight="1">
      <c r="A33" s="2">
        <v>0.21</v>
      </c>
      <c r="B33" s="2">
        <v>1.21</v>
      </c>
    </row>
    <row r="34" spans="1:2" ht="13" customHeight="1">
      <c r="A34" s="2">
        <v>0.18</v>
      </c>
      <c r="B34" s="2">
        <v>0.96</v>
      </c>
    </row>
    <row r="35" spans="1:2" ht="13" customHeight="1">
      <c r="A35" s="2">
        <v>0.02</v>
      </c>
      <c r="B35" s="2">
        <v>0.24</v>
      </c>
    </row>
    <row r="36" spans="1:2" ht="13" customHeight="1">
      <c r="A36" s="2">
        <v>0.02</v>
      </c>
      <c r="B36" s="2">
        <v>0.22</v>
      </c>
    </row>
    <row r="37" spans="1:2" ht="13" customHeight="1">
      <c r="A37" s="2">
        <v>0.25</v>
      </c>
      <c r="B37" s="2">
        <v>1.39</v>
      </c>
    </row>
    <row r="38" spans="1:2" ht="13" customHeight="1">
      <c r="A38" s="2">
        <v>0.09</v>
      </c>
      <c r="B38" s="2">
        <v>0.39</v>
      </c>
    </row>
    <row r="39" spans="1:2" ht="13" customHeight="1">
      <c r="A39" s="2">
        <v>0.09</v>
      </c>
      <c r="B39" s="2">
        <v>0.64</v>
      </c>
    </row>
    <row r="40" spans="1:2" ht="13" customHeight="1">
      <c r="A40" s="2">
        <v>0.2</v>
      </c>
      <c r="B40" s="2">
        <v>1.1399999999999999</v>
      </c>
    </row>
    <row r="41" spans="1:2" ht="13" customHeight="1">
      <c r="A41" s="2">
        <v>0.24</v>
      </c>
      <c r="B41" s="2">
        <v>1.24</v>
      </c>
    </row>
    <row r="42" spans="1:2" ht="13" customHeight="1">
      <c r="A42" s="2">
        <v>0.25</v>
      </c>
      <c r="B42" s="2">
        <v>1.21</v>
      </c>
    </row>
    <row r="43" spans="1:2" ht="13" customHeight="1">
      <c r="A43" s="2">
        <v>0.19</v>
      </c>
      <c r="B43" s="2">
        <v>1.07</v>
      </c>
    </row>
    <row r="44" spans="1:2" ht="13" customHeight="1">
      <c r="A44" s="2">
        <v>0.09</v>
      </c>
      <c r="B44" s="2">
        <v>0.49</v>
      </c>
    </row>
    <row r="45" spans="1:2" ht="13" customHeight="1">
      <c r="A45" s="2">
        <v>0.02</v>
      </c>
      <c r="B45" s="2">
        <v>0.39</v>
      </c>
    </row>
    <row r="46" spans="1:2" ht="13" customHeight="1">
      <c r="A46" s="2">
        <v>0.19</v>
      </c>
      <c r="B46" s="2">
        <v>0.87</v>
      </c>
    </row>
    <row r="47" spans="1:2" ht="13" customHeight="1">
      <c r="A47" s="2">
        <v>0.14000000000000001</v>
      </c>
      <c r="B47" s="2">
        <v>0.65</v>
      </c>
    </row>
    <row r="48" spans="1:2" ht="13" customHeight="1">
      <c r="A48" s="2">
        <v>0.11</v>
      </c>
      <c r="B48" s="2">
        <v>0.54</v>
      </c>
    </row>
    <row r="49" spans="1:2" ht="13" customHeight="1">
      <c r="A49" s="2">
        <v>0.23</v>
      </c>
      <c r="B49" s="2">
        <v>1.21</v>
      </c>
    </row>
    <row r="50" spans="1:2" ht="13" customHeight="1">
      <c r="A50" s="2">
        <v>0.03</v>
      </c>
      <c r="B50" s="2">
        <v>0.26</v>
      </c>
    </row>
    <row r="51" spans="1:2" ht="13" customHeight="1">
      <c r="A51" s="2">
        <v>0.12</v>
      </c>
      <c r="B51" s="2">
        <v>0.67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711B-D2BF-6047-90CD-2041A25698B3}">
  <sheetPr codeName="Sheet5">
    <outlinePr summaryBelow="0" summaryRight="0"/>
  </sheetPr>
  <dimension ref="A1:B52"/>
  <sheetViews>
    <sheetView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6" t="s">
        <v>8</v>
      </c>
      <c r="B1" s="6" t="s">
        <v>9</v>
      </c>
    </row>
    <row r="2" spans="1:2" ht="13" customHeight="1">
      <c r="A2" s="2">
        <v>161.46</v>
      </c>
      <c r="B2" s="2">
        <v>54.05</v>
      </c>
    </row>
    <row r="3" spans="1:2" ht="13" customHeight="1">
      <c r="A3" s="2">
        <v>168.86</v>
      </c>
      <c r="B3" s="2">
        <v>52.5</v>
      </c>
    </row>
    <row r="4" spans="1:2" ht="13" customHeight="1">
      <c r="A4" s="2">
        <v>170.96</v>
      </c>
      <c r="B4" s="2">
        <v>57.33</v>
      </c>
    </row>
    <row r="5" spans="1:2" ht="13" customHeight="1">
      <c r="A5" s="2">
        <v>174.12</v>
      </c>
      <c r="B5" s="2">
        <v>54.59</v>
      </c>
    </row>
    <row r="6" spans="1:2" ht="13" customHeight="1">
      <c r="A6" s="2">
        <v>175.69</v>
      </c>
      <c r="B6" s="2">
        <v>79.98</v>
      </c>
    </row>
    <row r="7" spans="1:2" ht="13" customHeight="1">
      <c r="A7" s="2">
        <v>161</v>
      </c>
      <c r="B7" s="2">
        <v>54.66</v>
      </c>
    </row>
    <row r="8" spans="1:2" ht="13" customHeight="1">
      <c r="A8" s="2">
        <v>157.72999999999999</v>
      </c>
      <c r="B8" s="2">
        <v>47.89</v>
      </c>
    </row>
    <row r="9" spans="1:2" ht="13" customHeight="1">
      <c r="A9" s="2">
        <v>180.22</v>
      </c>
      <c r="B9" s="2">
        <v>69.94</v>
      </c>
    </row>
    <row r="10" spans="1:2" ht="13" customHeight="1">
      <c r="A10" s="2">
        <v>172.66</v>
      </c>
      <c r="B10" s="2">
        <v>61.77</v>
      </c>
    </row>
    <row r="11" spans="1:2" ht="13" customHeight="1">
      <c r="A11" s="2">
        <v>164.01</v>
      </c>
      <c r="B11" s="2">
        <v>55</v>
      </c>
    </row>
    <row r="12" spans="1:2" ht="13" customHeight="1">
      <c r="A12" s="2">
        <v>182.41</v>
      </c>
      <c r="B12" s="2">
        <v>74.98</v>
      </c>
    </row>
    <row r="13" spans="1:2" ht="13" customHeight="1">
      <c r="A13" s="2">
        <v>170.93</v>
      </c>
      <c r="B13" s="2">
        <v>66.89</v>
      </c>
    </row>
    <row r="14" spans="1:2" ht="13" customHeight="1">
      <c r="A14" s="2">
        <v>179.43</v>
      </c>
      <c r="B14" s="2">
        <v>63.34</v>
      </c>
    </row>
    <row r="15" spans="1:2" ht="13" customHeight="1">
      <c r="A15" s="2">
        <v>170.54</v>
      </c>
      <c r="B15" s="2">
        <v>56.89</v>
      </c>
    </row>
    <row r="16" spans="1:2" ht="13" customHeight="1">
      <c r="A16" s="2">
        <v>186.49</v>
      </c>
      <c r="B16" s="2">
        <v>70.64</v>
      </c>
    </row>
    <row r="17" spans="1:2" ht="13" customHeight="1">
      <c r="A17" s="2">
        <v>184.04</v>
      </c>
      <c r="B17" s="2">
        <v>51.64</v>
      </c>
    </row>
    <row r="18" spans="1:2" ht="13" customHeight="1">
      <c r="A18" s="2">
        <v>168.01</v>
      </c>
      <c r="B18" s="2">
        <v>48.58</v>
      </c>
    </row>
    <row r="19" spans="1:2" ht="13" customHeight="1">
      <c r="A19" s="2">
        <v>177.77</v>
      </c>
      <c r="B19" s="2">
        <v>77.17</v>
      </c>
    </row>
    <row r="20" spans="1:2" ht="13" customHeight="1">
      <c r="A20" s="2">
        <v>175.16</v>
      </c>
      <c r="B20" s="2">
        <v>77.05</v>
      </c>
    </row>
    <row r="21" spans="1:2" ht="13" customHeight="1">
      <c r="A21" s="2">
        <v>180.95</v>
      </c>
      <c r="B21" s="2">
        <v>66.72</v>
      </c>
    </row>
    <row r="22" spans="1:2" ht="13" customHeight="1">
      <c r="A22" s="2">
        <v>162.28</v>
      </c>
      <c r="B22" s="2">
        <v>59.1</v>
      </c>
    </row>
    <row r="23" spans="1:2" ht="13" customHeight="1">
      <c r="A23" s="2">
        <v>175.49</v>
      </c>
      <c r="B23" s="2">
        <v>67.069999999999993</v>
      </c>
    </row>
    <row r="24" spans="1:2" ht="13" customHeight="1">
      <c r="A24" s="2">
        <v>178.47</v>
      </c>
      <c r="B24" s="2">
        <v>91.4</v>
      </c>
    </row>
    <row r="25" spans="1:2" ht="13" customHeight="1">
      <c r="A25" s="2">
        <v>155.93</v>
      </c>
      <c r="B25" s="2">
        <v>57.87</v>
      </c>
    </row>
    <row r="26" spans="1:2" ht="13" customHeight="1">
      <c r="A26" s="2">
        <v>160.53</v>
      </c>
      <c r="B26" s="2">
        <v>53.3</v>
      </c>
    </row>
    <row r="27" spans="1:2" ht="13" customHeight="1">
      <c r="A27" s="2">
        <v>153.69</v>
      </c>
      <c r="B27" s="2">
        <v>43.96</v>
      </c>
    </row>
    <row r="28" spans="1:2" ht="13" customHeight="1">
      <c r="A28" s="2">
        <v>167.84</v>
      </c>
      <c r="B28" s="2">
        <v>47.85</v>
      </c>
    </row>
    <row r="29" spans="1:2" ht="13" customHeight="1">
      <c r="A29" s="2">
        <v>175.74</v>
      </c>
      <c r="B29" s="2">
        <v>66.430000000000007</v>
      </c>
    </row>
    <row r="30" spans="1:2" ht="13" customHeight="1">
      <c r="A30" s="2">
        <v>182.02</v>
      </c>
      <c r="B30" s="2">
        <v>63.31</v>
      </c>
    </row>
    <row r="31" spans="1:2" ht="13" customHeight="1">
      <c r="A31" s="2">
        <v>170.59</v>
      </c>
      <c r="B31" s="2">
        <v>50.77</v>
      </c>
    </row>
    <row r="32" spans="1:2" ht="13" customHeight="1">
      <c r="A32" s="2">
        <v>183.03</v>
      </c>
      <c r="B32" s="2">
        <v>64.930000000000007</v>
      </c>
    </row>
    <row r="33" spans="1:2" ht="13" customHeight="1">
      <c r="A33" s="2">
        <v>158.96</v>
      </c>
      <c r="B33" s="2">
        <v>46.23</v>
      </c>
    </row>
    <row r="34" spans="1:2" ht="13" customHeight="1">
      <c r="A34" s="2">
        <v>156.37</v>
      </c>
      <c r="B34" s="2">
        <v>61.66</v>
      </c>
    </row>
    <row r="35" spans="1:2" ht="13" customHeight="1">
      <c r="A35" s="2">
        <v>169.56</v>
      </c>
      <c r="B35" s="2">
        <v>66.709999999999994</v>
      </c>
    </row>
    <row r="36" spans="1:2" ht="13" customHeight="1">
      <c r="A36" s="2">
        <v>173.07</v>
      </c>
      <c r="B36" s="2">
        <v>62.84</v>
      </c>
    </row>
    <row r="37" spans="1:2" ht="13" customHeight="1">
      <c r="A37" s="2">
        <v>169.74</v>
      </c>
      <c r="B37" s="2">
        <v>71.16</v>
      </c>
    </row>
    <row r="38" spans="1:2" ht="13" customHeight="1">
      <c r="A38" s="2">
        <v>153.46</v>
      </c>
      <c r="B38" s="2">
        <v>49.91</v>
      </c>
    </row>
    <row r="39" spans="1:2" ht="13" customHeight="1">
      <c r="A39" s="2">
        <v>169.29</v>
      </c>
      <c r="B39" s="2">
        <v>54.01</v>
      </c>
    </row>
    <row r="40" spans="1:2" ht="13" customHeight="1">
      <c r="A40" s="2">
        <v>159.56</v>
      </c>
      <c r="B40" s="2">
        <v>63.16</v>
      </c>
    </row>
    <row r="41" spans="1:2" ht="13" customHeight="1">
      <c r="A41" s="2">
        <v>175.36</v>
      </c>
      <c r="B41" s="2">
        <v>68.72</v>
      </c>
    </row>
    <row r="42" spans="1:2" ht="13" customHeight="1">
      <c r="A42" s="2">
        <v>172.93</v>
      </c>
      <c r="B42" s="2">
        <v>55.05</v>
      </c>
    </row>
    <row r="43" spans="1:2" ht="13" customHeight="1">
      <c r="A43" s="2">
        <v>162.47999999999999</v>
      </c>
      <c r="B43" s="2">
        <v>54.18</v>
      </c>
    </row>
    <row r="44" spans="1:2" ht="13" customHeight="1">
      <c r="A44" s="2">
        <v>165.89</v>
      </c>
      <c r="B44" s="2">
        <v>51.77</v>
      </c>
    </row>
    <row r="45" spans="1:2" ht="13" customHeight="1">
      <c r="A45" s="2">
        <v>161.53</v>
      </c>
      <c r="B45" s="2">
        <v>45.77</v>
      </c>
    </row>
    <row r="46" spans="1:2" ht="13" customHeight="1">
      <c r="A46" s="2">
        <v>169.5</v>
      </c>
      <c r="B46" s="2">
        <v>66.98</v>
      </c>
    </row>
    <row r="47" spans="1:2" ht="13" customHeight="1">
      <c r="A47" s="2">
        <v>177.64</v>
      </c>
      <c r="B47" s="2">
        <v>81.33</v>
      </c>
    </row>
    <row r="48" spans="1:2" ht="13" customHeight="1">
      <c r="A48" s="2">
        <v>162.11000000000001</v>
      </c>
      <c r="B48" s="2">
        <v>46</v>
      </c>
    </row>
    <row r="49" spans="1:2" ht="13" customHeight="1">
      <c r="A49" s="2">
        <v>174.03</v>
      </c>
      <c r="B49" s="2">
        <v>67.87</v>
      </c>
    </row>
    <row r="50" spans="1:2" ht="13" customHeight="1">
      <c r="A50" s="2">
        <v>165.76</v>
      </c>
      <c r="B50" s="2">
        <v>53.23</v>
      </c>
    </row>
    <row r="51" spans="1:2" ht="13" customHeight="1">
      <c r="A51" s="2">
        <v>163.66</v>
      </c>
      <c r="B51" s="2">
        <v>52.98</v>
      </c>
    </row>
    <row r="52" spans="1:2">
      <c r="A52" s="10">
        <v>180</v>
      </c>
      <c r="B52" s="10">
        <v>111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1406C-219A-E44B-AA4B-A2F7F7C7E4BE}">
  <sheetPr codeName="Sheet6"/>
  <dimension ref="A1:M53"/>
  <sheetViews>
    <sheetView topLeftCell="C1" zoomScale="140" workbookViewId="0">
      <selection activeCell="H53" sqref="H53"/>
    </sheetView>
  </sheetViews>
  <sheetFormatPr baseColWidth="10" defaultRowHeight="15"/>
  <sheetData>
    <row r="1" spans="1:13" ht="17">
      <c r="A1" s="11" t="s">
        <v>16</v>
      </c>
      <c r="B1" s="11" t="s">
        <v>8</v>
      </c>
      <c r="C1" s="11" t="s">
        <v>9</v>
      </c>
      <c r="D1" s="11" t="s">
        <v>19</v>
      </c>
      <c r="E1" s="11" t="s">
        <v>20</v>
      </c>
      <c r="F1" s="11" t="s">
        <v>21</v>
      </c>
      <c r="G1" s="11" t="s">
        <v>22</v>
      </c>
      <c r="H1" s="11"/>
      <c r="I1" s="11" t="s">
        <v>16</v>
      </c>
      <c r="J1" s="11" t="s">
        <v>8</v>
      </c>
      <c r="K1" s="11" t="s">
        <v>9</v>
      </c>
      <c r="L1" s="11" t="s">
        <v>8</v>
      </c>
      <c r="M1" s="11" t="s">
        <v>9</v>
      </c>
    </row>
    <row r="2" spans="1:13">
      <c r="A2" s="12" t="s">
        <v>17</v>
      </c>
      <c r="B2" s="12">
        <v>180.3</v>
      </c>
      <c r="C2" s="12">
        <v>70.900000000000006</v>
      </c>
      <c r="D2" s="12">
        <f>B2/2.54</f>
        <v>70.984251968503941</v>
      </c>
      <c r="E2" s="12">
        <f>C2*2.205</f>
        <v>156.33450000000002</v>
      </c>
      <c r="F2" s="12">
        <f>(B2-$B$52)/$B$53</f>
        <v>1.2233011428679175</v>
      </c>
      <c r="G2" s="12">
        <f>(C2-$C$52)/$C$53</f>
        <v>0.97835222248348708</v>
      </c>
      <c r="H2" s="12">
        <f>F2*G2</f>
        <v>1.1968193918914167</v>
      </c>
      <c r="I2" s="12" t="s">
        <v>17</v>
      </c>
      <c r="J2" s="12">
        <v>180.3</v>
      </c>
      <c r="K2" s="12">
        <v>70.900000000000006</v>
      </c>
      <c r="L2" s="12">
        <v>156</v>
      </c>
      <c r="M2" s="12">
        <v>45.4</v>
      </c>
    </row>
    <row r="3" spans="1:13">
      <c r="A3" s="12" t="s">
        <v>17</v>
      </c>
      <c r="B3" s="12">
        <v>175.4</v>
      </c>
      <c r="C3" s="12">
        <v>63.3</v>
      </c>
      <c r="D3" s="12">
        <f t="shared" ref="D3:D51" si="0">B3/2.54</f>
        <v>69.055118110236222</v>
      </c>
      <c r="E3" s="12">
        <f t="shared" ref="E3:E51" si="1">C3*2.205</f>
        <v>139.57650000000001</v>
      </c>
      <c r="F3" s="12">
        <f t="shared" ref="F3:F51" si="2">(B3-$B$52)/$B$53</f>
        <v>0.68005521210366082</v>
      </c>
      <c r="G3" s="12">
        <f t="shared" ref="G3:G51" si="3">(C3-$C$52)/$C$53</f>
        <v>0.28305795552308843</v>
      </c>
      <c r="H3" s="12">
        <f t="shared" ref="H3:H51" si="4">F3*G3</f>
        <v>0.19249503798088249</v>
      </c>
      <c r="I3" s="12" t="s">
        <v>17</v>
      </c>
      <c r="J3" s="12">
        <v>175.4</v>
      </c>
      <c r="K3" s="12">
        <v>63.3</v>
      </c>
      <c r="L3" s="12">
        <v>160.9</v>
      </c>
      <c r="M3" s="12">
        <v>51</v>
      </c>
    </row>
    <row r="4" spans="1:13">
      <c r="A4" s="12" t="s">
        <v>17</v>
      </c>
      <c r="B4" s="12">
        <v>166.6</v>
      </c>
      <c r="C4" s="12">
        <v>60.3</v>
      </c>
      <c r="D4" s="12">
        <f t="shared" si="0"/>
        <v>65.590551181102356</v>
      </c>
      <c r="E4" s="12">
        <f t="shared" si="1"/>
        <v>132.9615</v>
      </c>
      <c r="F4" s="12">
        <f t="shared" si="2"/>
        <v>-0.29557013294235102</v>
      </c>
      <c r="G4" s="12">
        <f t="shared" si="3"/>
        <v>8.5996922492471359E-3</v>
      </c>
      <c r="H4" s="12">
        <f t="shared" si="4"/>
        <v>-2.5418121813732815E-3</v>
      </c>
      <c r="I4" s="12" t="s">
        <v>17</v>
      </c>
      <c r="J4" s="12">
        <v>166.6</v>
      </c>
      <c r="K4" s="12">
        <v>60.3</v>
      </c>
      <c r="L4" s="12">
        <v>164.9</v>
      </c>
      <c r="M4" s="12">
        <v>58</v>
      </c>
    </row>
    <row r="5" spans="1:13">
      <c r="A5" s="12" t="s">
        <v>17</v>
      </c>
      <c r="B5" s="12">
        <v>169.7</v>
      </c>
      <c r="C5" s="12">
        <v>69.099999999999994</v>
      </c>
      <c r="D5" s="12">
        <f t="shared" si="0"/>
        <v>66.811023622047244</v>
      </c>
      <c r="E5" s="12">
        <f t="shared" si="1"/>
        <v>152.3655</v>
      </c>
      <c r="F5" s="12">
        <f t="shared" si="2"/>
        <v>4.8116068153402095E-2</v>
      </c>
      <c r="G5" s="12">
        <f t="shared" si="3"/>
        <v>0.81367726451918132</v>
      </c>
      <c r="H5" s="12">
        <f t="shared" si="4"/>
        <v>3.9150950714478709E-2</v>
      </c>
      <c r="I5" s="12" t="s">
        <v>17</v>
      </c>
      <c r="J5" s="12">
        <v>169.7</v>
      </c>
      <c r="K5" s="12">
        <v>69.099999999999994</v>
      </c>
      <c r="L5" s="12">
        <v>167.6</v>
      </c>
      <c r="M5" s="12">
        <v>53.7</v>
      </c>
    </row>
    <row r="6" spans="1:13">
      <c r="A6" s="12" t="s">
        <v>17</v>
      </c>
      <c r="B6" s="12">
        <v>180.8</v>
      </c>
      <c r="C6" s="12">
        <v>75.8</v>
      </c>
      <c r="D6" s="12">
        <f t="shared" si="0"/>
        <v>71.181102362204726</v>
      </c>
      <c r="E6" s="12">
        <f t="shared" si="1"/>
        <v>167.13900000000001</v>
      </c>
      <c r="F6" s="12">
        <f t="shared" si="2"/>
        <v>1.2787344011091679</v>
      </c>
      <c r="G6" s="12">
        <f t="shared" si="3"/>
        <v>1.426634052497427</v>
      </c>
      <c r="H6" s="12">
        <f t="shared" si="4"/>
        <v>1.8242860407222425</v>
      </c>
      <c r="I6" s="12" t="s">
        <v>17</v>
      </c>
      <c r="J6" s="12">
        <v>180.8</v>
      </c>
      <c r="K6" s="12">
        <v>75.8</v>
      </c>
      <c r="L6" s="12">
        <v>150.5</v>
      </c>
      <c r="M6" s="12">
        <v>40.200000000000003</v>
      </c>
    </row>
    <row r="7" spans="1:13">
      <c r="A7" s="12" t="s">
        <v>17</v>
      </c>
      <c r="B7" s="12">
        <v>169.1</v>
      </c>
      <c r="C7" s="12">
        <v>55.2</v>
      </c>
      <c r="D7" s="12">
        <f t="shared" si="0"/>
        <v>66.574803149606296</v>
      </c>
      <c r="E7" s="12">
        <f t="shared" si="1"/>
        <v>121.71600000000001</v>
      </c>
      <c r="F7" s="12">
        <f t="shared" si="2"/>
        <v>-1.8403841736097999E-2</v>
      </c>
      <c r="G7" s="12">
        <f t="shared" si="3"/>
        <v>-0.45797935531628253</v>
      </c>
      <c r="H7" s="12">
        <f t="shared" si="4"/>
        <v>8.4285795736410551E-3</v>
      </c>
      <c r="I7" s="12" t="s">
        <v>17</v>
      </c>
      <c r="J7" s="12">
        <v>169.1</v>
      </c>
      <c r="K7" s="12">
        <v>55.2</v>
      </c>
      <c r="L7" s="12">
        <v>160.80000000000001</v>
      </c>
      <c r="M7" s="12">
        <v>54</v>
      </c>
    </row>
    <row r="8" spans="1:13">
      <c r="A8" s="12" t="s">
        <v>17</v>
      </c>
      <c r="B8" s="12">
        <v>184.7</v>
      </c>
      <c r="C8" s="12">
        <v>78.400000000000006</v>
      </c>
      <c r="D8" s="12">
        <f t="shared" si="0"/>
        <v>72.71653543307086</v>
      </c>
      <c r="E8" s="12">
        <f t="shared" si="1"/>
        <v>172.87200000000001</v>
      </c>
      <c r="F8" s="12">
        <f t="shared" si="2"/>
        <v>1.7111138153909202</v>
      </c>
      <c r="G8" s="12">
        <f t="shared" si="3"/>
        <v>1.6644978806680903</v>
      </c>
      <c r="H8" s="12">
        <f t="shared" si="4"/>
        <v>2.8481453193000767</v>
      </c>
      <c r="I8" s="12" t="s">
        <v>17</v>
      </c>
      <c r="J8" s="12">
        <v>184.7</v>
      </c>
      <c r="K8" s="12">
        <v>78.400000000000006</v>
      </c>
      <c r="L8" s="12">
        <v>163.1</v>
      </c>
      <c r="M8" s="12">
        <v>58</v>
      </c>
    </row>
    <row r="9" spans="1:13">
      <c r="A9" s="12" t="s">
        <v>17</v>
      </c>
      <c r="B9" s="12">
        <v>170.9</v>
      </c>
      <c r="C9" s="12">
        <v>67.400000000000006</v>
      </c>
      <c r="D9" s="12">
        <f t="shared" si="0"/>
        <v>67.28346456692914</v>
      </c>
      <c r="E9" s="12">
        <f t="shared" si="1"/>
        <v>148.61700000000002</v>
      </c>
      <c r="F9" s="12">
        <f t="shared" si="2"/>
        <v>0.18115588793240545</v>
      </c>
      <c r="G9" s="12">
        <f t="shared" si="3"/>
        <v>0.65815091533067227</v>
      </c>
      <c r="H9" s="12">
        <f t="shared" si="4"/>
        <v>0.11922791346025333</v>
      </c>
      <c r="I9" s="12" t="s">
        <v>17</v>
      </c>
      <c r="J9" s="12">
        <v>170.9</v>
      </c>
      <c r="K9" s="12">
        <v>67.400000000000006</v>
      </c>
      <c r="L9" s="12">
        <v>156.80000000000001</v>
      </c>
      <c r="M9" s="12">
        <v>40.799999999999997</v>
      </c>
    </row>
    <row r="10" spans="1:13">
      <c r="A10" s="12" t="s">
        <v>17</v>
      </c>
      <c r="B10" s="12">
        <v>178.9</v>
      </c>
      <c r="C10" s="12">
        <v>72.400000000000006</v>
      </c>
      <c r="D10" s="12">
        <f t="shared" si="0"/>
        <v>70.433070866141733</v>
      </c>
      <c r="E10" s="12">
        <f t="shared" si="1"/>
        <v>159.64200000000002</v>
      </c>
      <c r="F10" s="12">
        <f t="shared" si="2"/>
        <v>1.0680880197924152</v>
      </c>
      <c r="G10" s="12">
        <f t="shared" si="3"/>
        <v>1.1155813541204078</v>
      </c>
      <c r="H10" s="12">
        <f t="shared" si="4"/>
        <v>1.1915390794398075</v>
      </c>
      <c r="I10" s="12" t="s">
        <v>17</v>
      </c>
      <c r="J10" s="12">
        <v>178.9</v>
      </c>
      <c r="K10" s="12">
        <v>72.400000000000006</v>
      </c>
      <c r="L10" s="12">
        <v>161.5</v>
      </c>
      <c r="M10" s="12">
        <v>47.7</v>
      </c>
    </row>
    <row r="11" spans="1:13">
      <c r="A11" s="12" t="s">
        <v>17</v>
      </c>
      <c r="B11" s="12">
        <v>175.6</v>
      </c>
      <c r="C11" s="12">
        <v>60.1</v>
      </c>
      <c r="D11" s="12">
        <f t="shared" si="0"/>
        <v>69.133858267716533</v>
      </c>
      <c r="E11" s="12">
        <f t="shared" si="1"/>
        <v>132.5205</v>
      </c>
      <c r="F11" s="12">
        <f t="shared" si="2"/>
        <v>0.70222851540015985</v>
      </c>
      <c r="G11" s="12">
        <f t="shared" si="3"/>
        <v>-9.6975253023418931E-3</v>
      </c>
      <c r="H11" s="12">
        <f t="shared" si="4"/>
        <v>-6.8098787961190337E-3</v>
      </c>
      <c r="I11" s="12" t="s">
        <v>17</v>
      </c>
      <c r="J11" s="12">
        <v>175.6</v>
      </c>
      <c r="K11" s="12">
        <v>60.1</v>
      </c>
      <c r="L11" s="12">
        <v>161.4</v>
      </c>
      <c r="M11" s="12">
        <v>50</v>
      </c>
    </row>
    <row r="12" spans="1:13">
      <c r="A12" s="12" t="s">
        <v>17</v>
      </c>
      <c r="B12" s="12">
        <v>181.5</v>
      </c>
      <c r="C12" s="12">
        <v>73.7</v>
      </c>
      <c r="D12" s="12">
        <f t="shared" si="0"/>
        <v>71.456692913385822</v>
      </c>
      <c r="E12" s="12">
        <f t="shared" si="1"/>
        <v>162.5085</v>
      </c>
      <c r="F12" s="12">
        <f t="shared" si="2"/>
        <v>1.3563409626469176</v>
      </c>
      <c r="G12" s="12">
        <f t="shared" si="3"/>
        <v>1.2345132682057387</v>
      </c>
      <c r="H12" s="12">
        <f t="shared" si="4"/>
        <v>1.674420914598564</v>
      </c>
      <c r="I12" s="12" t="s">
        <v>17</v>
      </c>
      <c r="J12" s="12">
        <v>181.5</v>
      </c>
      <c r="K12" s="12">
        <v>73.7</v>
      </c>
      <c r="L12" s="12">
        <v>158.5</v>
      </c>
      <c r="M12" s="12">
        <v>45</v>
      </c>
    </row>
    <row r="13" spans="1:13">
      <c r="A13" s="12" t="s">
        <v>17</v>
      </c>
      <c r="B13" s="12">
        <v>182</v>
      </c>
      <c r="C13" s="12">
        <v>66.900000000000006</v>
      </c>
      <c r="D13" s="12">
        <f t="shared" si="0"/>
        <v>71.653543307086608</v>
      </c>
      <c r="E13" s="12">
        <f t="shared" si="1"/>
        <v>147.51450000000003</v>
      </c>
      <c r="F13" s="12">
        <f t="shared" si="2"/>
        <v>1.4117742208881683</v>
      </c>
      <c r="G13" s="12">
        <f t="shared" si="3"/>
        <v>0.61240787145169873</v>
      </c>
      <c r="H13" s="12">
        <f t="shared" si="4"/>
        <v>0.86458164558450346</v>
      </c>
      <c r="I13" s="12" t="s">
        <v>17</v>
      </c>
      <c r="J13" s="12">
        <v>182</v>
      </c>
      <c r="K13" s="12">
        <v>66.900000000000006</v>
      </c>
      <c r="L13" s="12">
        <v>154.4</v>
      </c>
      <c r="M13" s="12">
        <v>47.7</v>
      </c>
    </row>
    <row r="14" spans="1:13">
      <c r="A14" s="12" t="s">
        <v>17</v>
      </c>
      <c r="B14" s="12">
        <v>168.5</v>
      </c>
      <c r="C14" s="12">
        <v>65</v>
      </c>
      <c r="D14" s="12">
        <f t="shared" si="0"/>
        <v>66.338582677165348</v>
      </c>
      <c r="E14" s="12">
        <f t="shared" si="1"/>
        <v>143.32500000000002</v>
      </c>
      <c r="F14" s="12">
        <f t="shared" si="2"/>
        <v>-8.4923751625598093E-2</v>
      </c>
      <c r="G14" s="12">
        <f t="shared" si="3"/>
        <v>0.43858430471159876</v>
      </c>
      <c r="H14" s="12">
        <f t="shared" si="4"/>
        <v>-3.7246224560213446E-2</v>
      </c>
      <c r="I14" s="12" t="s">
        <v>17</v>
      </c>
      <c r="J14" s="12">
        <v>168.5</v>
      </c>
      <c r="K14" s="12">
        <v>65</v>
      </c>
      <c r="L14" s="12">
        <v>159.1</v>
      </c>
      <c r="M14" s="12">
        <v>65</v>
      </c>
    </row>
    <row r="15" spans="1:13">
      <c r="A15" s="12" t="s">
        <v>17</v>
      </c>
      <c r="B15" s="12">
        <v>178.5</v>
      </c>
      <c r="C15" s="12">
        <v>67</v>
      </c>
      <c r="D15" s="12">
        <f t="shared" si="0"/>
        <v>70.275590551181097</v>
      </c>
      <c r="E15" s="12">
        <f t="shared" si="1"/>
        <v>147.73500000000001</v>
      </c>
      <c r="F15" s="12">
        <f t="shared" si="2"/>
        <v>1.023741413199414</v>
      </c>
      <c r="G15" s="12">
        <f t="shared" si="3"/>
        <v>0.62155648022749288</v>
      </c>
      <c r="H15" s="12">
        <f t="shared" si="4"/>
        <v>0.63631310945134723</v>
      </c>
      <c r="I15" s="12" t="s">
        <v>17</v>
      </c>
      <c r="J15" s="12">
        <v>178.5</v>
      </c>
      <c r="K15" s="12">
        <v>67</v>
      </c>
      <c r="L15" s="12">
        <v>168.8</v>
      </c>
      <c r="M15" s="12">
        <v>53.2</v>
      </c>
    </row>
    <row r="16" spans="1:13">
      <c r="A16" s="12" t="s">
        <v>17</v>
      </c>
      <c r="B16" s="12">
        <v>173.6</v>
      </c>
      <c r="C16" s="12">
        <v>63.6</v>
      </c>
      <c r="D16" s="12">
        <f t="shared" si="0"/>
        <v>68.346456692913378</v>
      </c>
      <c r="E16" s="12">
        <f t="shared" si="1"/>
        <v>140.238</v>
      </c>
      <c r="F16" s="12">
        <f t="shared" si="2"/>
        <v>0.48049548243515744</v>
      </c>
      <c r="G16" s="12">
        <f t="shared" si="3"/>
        <v>0.31050378185047295</v>
      </c>
      <c r="H16" s="12">
        <f t="shared" si="4"/>
        <v>0.14919566445818389</v>
      </c>
      <c r="I16" s="12" t="s">
        <v>17</v>
      </c>
      <c r="J16" s="12">
        <v>173.6</v>
      </c>
      <c r="K16" s="12">
        <v>63.6</v>
      </c>
      <c r="L16" s="12">
        <v>159.30000000000001</v>
      </c>
      <c r="M16" s="12">
        <v>46.9</v>
      </c>
    </row>
    <row r="17" spans="1:13">
      <c r="A17" s="12" t="s">
        <v>17</v>
      </c>
      <c r="B17" s="12">
        <v>178.8</v>
      </c>
      <c r="C17" s="12">
        <v>67.5</v>
      </c>
      <c r="D17" s="12">
        <f t="shared" si="0"/>
        <v>70.393700787401585</v>
      </c>
      <c r="E17" s="12">
        <f t="shared" si="1"/>
        <v>148.83750000000001</v>
      </c>
      <c r="F17" s="12">
        <f t="shared" si="2"/>
        <v>1.0570013681441657</v>
      </c>
      <c r="G17" s="12">
        <f t="shared" si="3"/>
        <v>0.66729952410646642</v>
      </c>
      <c r="H17" s="12">
        <f t="shared" si="4"/>
        <v>0.70533650994248565</v>
      </c>
      <c r="I17" s="12" t="s">
        <v>17</v>
      </c>
      <c r="J17" s="12">
        <v>178.8</v>
      </c>
      <c r="K17" s="12">
        <v>67.5</v>
      </c>
      <c r="L17" s="12">
        <v>161.4</v>
      </c>
      <c r="M17" s="12">
        <v>50.5</v>
      </c>
    </row>
    <row r="18" spans="1:13">
      <c r="A18" s="12" t="s">
        <v>17</v>
      </c>
      <c r="B18" s="12">
        <v>186.3</v>
      </c>
      <c r="C18" s="12">
        <v>81.099999999999994</v>
      </c>
      <c r="D18" s="12">
        <f t="shared" si="0"/>
        <v>73.346456692913392</v>
      </c>
      <c r="E18" s="12">
        <f t="shared" si="1"/>
        <v>178.82550000000001</v>
      </c>
      <c r="F18" s="12">
        <f t="shared" si="2"/>
        <v>1.8885002417629246</v>
      </c>
      <c r="G18" s="12">
        <f t="shared" si="3"/>
        <v>1.9115103176145465</v>
      </c>
      <c r="H18" s="12">
        <f t="shared" si="4"/>
        <v>3.6098876969473959</v>
      </c>
      <c r="I18" s="12" t="s">
        <v>17</v>
      </c>
      <c r="J18" s="12">
        <v>186.3</v>
      </c>
      <c r="K18" s="12">
        <v>81.099999999999994</v>
      </c>
      <c r="L18" s="12">
        <v>159.19999999999999</v>
      </c>
      <c r="M18" s="12">
        <v>53.2</v>
      </c>
    </row>
    <row r="19" spans="1:13">
      <c r="A19" s="12" t="s">
        <v>17</v>
      </c>
      <c r="B19" s="12">
        <v>177.8</v>
      </c>
      <c r="C19" s="12">
        <v>77.900000000000006</v>
      </c>
      <c r="D19" s="12">
        <f t="shared" si="0"/>
        <v>70</v>
      </c>
      <c r="E19" s="12">
        <f t="shared" si="1"/>
        <v>171.76950000000002</v>
      </c>
      <c r="F19" s="12">
        <f t="shared" si="2"/>
        <v>0.94613485166166433</v>
      </c>
      <c r="G19" s="12">
        <f t="shared" si="3"/>
        <v>1.6187548367891167</v>
      </c>
      <c r="H19" s="12">
        <f t="shared" si="4"/>
        <v>1.5315603673820726</v>
      </c>
      <c r="I19" s="12" t="s">
        <v>17</v>
      </c>
      <c r="J19" s="12">
        <v>177.8</v>
      </c>
      <c r="K19" s="12">
        <v>77.900000000000006</v>
      </c>
      <c r="L19" s="12">
        <v>170.2</v>
      </c>
      <c r="M19" s="12">
        <v>51.1</v>
      </c>
    </row>
    <row r="20" spans="1:13">
      <c r="A20" s="12" t="s">
        <v>17</v>
      </c>
      <c r="B20" s="12">
        <v>182.5</v>
      </c>
      <c r="C20" s="12">
        <v>74.7</v>
      </c>
      <c r="D20" s="12">
        <f t="shared" si="0"/>
        <v>71.850393700787407</v>
      </c>
      <c r="E20" s="12">
        <f t="shared" si="1"/>
        <v>164.71350000000001</v>
      </c>
      <c r="F20" s="12">
        <f t="shared" si="2"/>
        <v>1.4672074791294187</v>
      </c>
      <c r="G20" s="12">
        <f t="shared" si="3"/>
        <v>1.3259993559636858</v>
      </c>
      <c r="H20" s="12">
        <f t="shared" si="4"/>
        <v>1.9455161723907122</v>
      </c>
      <c r="I20" s="12" t="s">
        <v>17</v>
      </c>
      <c r="J20" s="12">
        <v>182.5</v>
      </c>
      <c r="K20" s="12">
        <v>74.7</v>
      </c>
      <c r="L20" s="12">
        <v>163.6</v>
      </c>
      <c r="M20" s="12">
        <v>46.4</v>
      </c>
    </row>
    <row r="21" spans="1:13">
      <c r="A21" s="12" t="s">
        <v>17</v>
      </c>
      <c r="B21" s="12">
        <v>174.2</v>
      </c>
      <c r="C21" s="12">
        <v>67.099999999999994</v>
      </c>
      <c r="D21" s="12">
        <f t="shared" si="0"/>
        <v>68.582677165354326</v>
      </c>
      <c r="E21" s="12">
        <f t="shared" si="1"/>
        <v>147.9555</v>
      </c>
      <c r="F21" s="12">
        <f t="shared" si="2"/>
        <v>0.54701539232465757</v>
      </c>
      <c r="G21" s="12">
        <f t="shared" si="3"/>
        <v>0.63070508900328714</v>
      </c>
      <c r="H21" s="12">
        <f t="shared" si="4"/>
        <v>0.34500539170229116</v>
      </c>
      <c r="I21" s="12" t="s">
        <v>17</v>
      </c>
      <c r="J21" s="12">
        <v>174.2</v>
      </c>
      <c r="K21" s="12">
        <v>67.099999999999994</v>
      </c>
      <c r="L21" s="12">
        <v>165.1</v>
      </c>
      <c r="M21" s="12">
        <v>50</v>
      </c>
    </row>
    <row r="22" spans="1:13">
      <c r="A22" s="12" t="s">
        <v>17</v>
      </c>
      <c r="B22" s="12">
        <v>168.8</v>
      </c>
      <c r="C22" s="12">
        <v>71.5</v>
      </c>
      <c r="D22" s="12">
        <f t="shared" si="0"/>
        <v>66.456692913385837</v>
      </c>
      <c r="E22" s="12">
        <f t="shared" si="1"/>
        <v>157.6575</v>
      </c>
      <c r="F22" s="12">
        <f t="shared" si="2"/>
        <v>-5.1663796680846467E-2</v>
      </c>
      <c r="G22" s="12">
        <f t="shared" si="3"/>
        <v>1.0332438751382549</v>
      </c>
      <c r="H22" s="12">
        <f t="shared" si="4"/>
        <v>-5.3381301486872715E-2</v>
      </c>
      <c r="I22" s="12" t="s">
        <v>17</v>
      </c>
      <c r="J22" s="12">
        <v>168.8</v>
      </c>
      <c r="K22" s="12">
        <v>71.5</v>
      </c>
      <c r="L22" s="12">
        <v>165.8</v>
      </c>
      <c r="M22" s="12">
        <v>53</v>
      </c>
    </row>
    <row r="23" spans="1:13">
      <c r="A23" s="12" t="s">
        <v>17</v>
      </c>
      <c r="B23" s="12">
        <v>175.7</v>
      </c>
      <c r="C23" s="12">
        <v>72.7</v>
      </c>
      <c r="D23" s="12">
        <f t="shared" si="0"/>
        <v>69.173228346456682</v>
      </c>
      <c r="E23" s="12">
        <f t="shared" si="1"/>
        <v>160.30350000000001</v>
      </c>
      <c r="F23" s="12">
        <f t="shared" si="2"/>
        <v>0.71331516704840936</v>
      </c>
      <c r="G23" s="12">
        <f t="shared" si="3"/>
        <v>1.1430271804477916</v>
      </c>
      <c r="H23" s="12">
        <f t="shared" si="4"/>
        <v>0.81533862416198888</v>
      </c>
      <c r="I23" s="12" t="s">
        <v>17</v>
      </c>
      <c r="J23" s="12">
        <v>175.7</v>
      </c>
      <c r="K23" s="12">
        <v>72.7</v>
      </c>
      <c r="L23" s="12">
        <v>160.6</v>
      </c>
      <c r="M23" s="12">
        <v>55</v>
      </c>
    </row>
    <row r="24" spans="1:13">
      <c r="A24" s="12" t="s">
        <v>17</v>
      </c>
      <c r="B24" s="12">
        <v>176.8</v>
      </c>
      <c r="C24" s="12">
        <v>70.099999999999994</v>
      </c>
      <c r="D24" s="12">
        <f t="shared" si="0"/>
        <v>69.606299212598429</v>
      </c>
      <c r="E24" s="12">
        <f t="shared" si="1"/>
        <v>154.57049999999998</v>
      </c>
      <c r="F24" s="12">
        <f t="shared" si="2"/>
        <v>0.83526833517916321</v>
      </c>
      <c r="G24" s="12">
        <f t="shared" si="3"/>
        <v>0.90516335227712841</v>
      </c>
      <c r="H24" s="12">
        <f t="shared" si="4"/>
        <v>0.75605428632170746</v>
      </c>
      <c r="I24" s="12" t="s">
        <v>17</v>
      </c>
      <c r="J24" s="12">
        <v>176.8</v>
      </c>
      <c r="K24" s="12">
        <v>70.099999999999994</v>
      </c>
      <c r="L24" s="12">
        <v>174</v>
      </c>
      <c r="M24" s="12">
        <v>60</v>
      </c>
    </row>
    <row r="25" spans="1:13">
      <c r="A25" s="12" t="s">
        <v>17</v>
      </c>
      <c r="B25" s="12">
        <v>165.3</v>
      </c>
      <c r="C25" s="12">
        <v>65.2</v>
      </c>
      <c r="D25" s="12">
        <f t="shared" si="0"/>
        <v>65.078740157480325</v>
      </c>
      <c r="E25" s="12">
        <f t="shared" si="1"/>
        <v>143.76600000000002</v>
      </c>
      <c r="F25" s="12">
        <f t="shared" si="2"/>
        <v>-0.43969660436960067</v>
      </c>
      <c r="G25" s="12">
        <f t="shared" si="3"/>
        <v>0.4568815222631884</v>
      </c>
      <c r="H25" s="12">
        <f t="shared" si="4"/>
        <v>-0.20088925393833806</v>
      </c>
      <c r="I25" s="12" t="s">
        <v>17</v>
      </c>
      <c r="J25" s="12">
        <v>165.3</v>
      </c>
      <c r="K25" s="12">
        <v>65.2</v>
      </c>
      <c r="L25" s="12">
        <v>162.19999999999999</v>
      </c>
      <c r="M25" s="12">
        <v>50</v>
      </c>
    </row>
    <row r="26" spans="1:13">
      <c r="A26" s="12" t="s">
        <v>17</v>
      </c>
      <c r="B26" s="12">
        <v>183.5</v>
      </c>
      <c r="C26" s="12">
        <v>75.599999999999994</v>
      </c>
      <c r="D26" s="12">
        <f t="shared" si="0"/>
        <v>72.244094488188978</v>
      </c>
      <c r="E26" s="12">
        <f t="shared" si="1"/>
        <v>166.69799999999998</v>
      </c>
      <c r="F26" s="12">
        <f t="shared" si="2"/>
        <v>1.5780739956119201</v>
      </c>
      <c r="G26" s="12">
        <f t="shared" si="3"/>
        <v>1.4083368349458374</v>
      </c>
      <c r="H26" s="12">
        <f t="shared" si="4"/>
        <v>2.2224597362904226</v>
      </c>
      <c r="I26" s="12" t="s">
        <v>17</v>
      </c>
      <c r="J26" s="12">
        <v>183.5</v>
      </c>
      <c r="K26" s="12">
        <v>75.599999999999994</v>
      </c>
      <c r="L26" s="12">
        <v>171.8</v>
      </c>
      <c r="M26" s="12">
        <v>52</v>
      </c>
    </row>
    <row r="27" spans="1:13">
      <c r="A27" s="12" t="s">
        <v>18</v>
      </c>
      <c r="B27" s="12">
        <v>156</v>
      </c>
      <c r="C27" s="12">
        <v>45.4</v>
      </c>
      <c r="D27" s="12">
        <f t="shared" si="0"/>
        <v>61.417322834645667</v>
      </c>
      <c r="E27" s="12">
        <f t="shared" si="1"/>
        <v>100.107</v>
      </c>
      <c r="F27" s="12">
        <f t="shared" si="2"/>
        <v>-1.4707552076568631</v>
      </c>
      <c r="G27" s="12">
        <f t="shared" si="3"/>
        <v>-1.3545430153441644</v>
      </c>
      <c r="H27" s="12">
        <f t="shared" si="4"/>
        <v>1.99220119381266</v>
      </c>
      <c r="I27" s="12"/>
      <c r="J27" s="12"/>
      <c r="K27" s="12"/>
      <c r="L27" s="12"/>
      <c r="M27" s="12"/>
    </row>
    <row r="28" spans="1:13">
      <c r="A28" s="12" t="s">
        <v>18</v>
      </c>
      <c r="B28" s="12">
        <v>160.9</v>
      </c>
      <c r="C28" s="12">
        <v>51</v>
      </c>
      <c r="D28" s="12">
        <f t="shared" si="0"/>
        <v>63.346456692913385</v>
      </c>
      <c r="E28" s="12">
        <f t="shared" si="1"/>
        <v>112.455</v>
      </c>
      <c r="F28" s="12">
        <f t="shared" si="2"/>
        <v>-0.92750927689260665</v>
      </c>
      <c r="G28" s="12">
        <f t="shared" si="3"/>
        <v>-0.84222092389966063</v>
      </c>
      <c r="H28" s="12">
        <f t="shared" si="4"/>
        <v>0.78116772010999735</v>
      </c>
      <c r="I28" s="12"/>
      <c r="J28" s="12"/>
      <c r="K28" s="12"/>
      <c r="L28" s="12"/>
      <c r="M28" s="12"/>
    </row>
    <row r="29" spans="1:13">
      <c r="A29" s="12" t="s">
        <v>18</v>
      </c>
      <c r="B29" s="12">
        <v>164.9</v>
      </c>
      <c r="C29" s="12">
        <v>58</v>
      </c>
      <c r="D29" s="12">
        <f t="shared" si="0"/>
        <v>64.921259842519689</v>
      </c>
      <c r="E29" s="12">
        <f t="shared" si="1"/>
        <v>127.89</v>
      </c>
      <c r="F29" s="12">
        <f t="shared" si="2"/>
        <v>-0.48404321096260178</v>
      </c>
      <c r="G29" s="12">
        <f t="shared" si="3"/>
        <v>-0.20181830959403091</v>
      </c>
      <c r="H29" s="12">
        <f t="shared" si="4"/>
        <v>9.7688782606939181E-2</v>
      </c>
      <c r="I29" s="12"/>
      <c r="J29" s="12"/>
      <c r="K29" s="12"/>
      <c r="L29" s="12"/>
      <c r="M29" s="12"/>
    </row>
    <row r="30" spans="1:13">
      <c r="A30" s="12" t="s">
        <v>18</v>
      </c>
      <c r="B30" s="12">
        <v>167.6</v>
      </c>
      <c r="C30" s="12">
        <v>53.7</v>
      </c>
      <c r="D30" s="12">
        <f t="shared" si="0"/>
        <v>65.984251968503941</v>
      </c>
      <c r="E30" s="12">
        <f t="shared" si="1"/>
        <v>118.4085</v>
      </c>
      <c r="F30" s="12">
        <f t="shared" si="2"/>
        <v>-0.18470361645984981</v>
      </c>
      <c r="G30" s="12">
        <f t="shared" si="3"/>
        <v>-0.59520848695320316</v>
      </c>
      <c r="H30" s="12">
        <f t="shared" si="4"/>
        <v>0.10993716008785195</v>
      </c>
      <c r="I30" s="12"/>
      <c r="J30" s="12"/>
      <c r="K30" s="12"/>
    </row>
    <row r="31" spans="1:13">
      <c r="A31" s="12" t="s">
        <v>18</v>
      </c>
      <c r="B31" s="12">
        <v>150.5</v>
      </c>
      <c r="C31" s="12">
        <v>40.200000000000003</v>
      </c>
      <c r="D31" s="12">
        <f t="shared" si="0"/>
        <v>59.251968503937007</v>
      </c>
      <c r="E31" s="12">
        <f t="shared" si="1"/>
        <v>88.641000000000005</v>
      </c>
      <c r="F31" s="12">
        <f t="shared" si="2"/>
        <v>-2.08052104831062</v>
      </c>
      <c r="G31" s="12">
        <f t="shared" si="3"/>
        <v>-1.8302706716854888</v>
      </c>
      <c r="H31" s="12">
        <f t="shared" si="4"/>
        <v>3.8079166565472757</v>
      </c>
      <c r="I31" s="12"/>
      <c r="J31" s="12"/>
      <c r="K31" s="12"/>
    </row>
    <row r="32" spans="1:13">
      <c r="A32" s="12" t="s">
        <v>18</v>
      </c>
      <c r="B32" s="12">
        <v>160.80000000000001</v>
      </c>
      <c r="C32" s="12">
        <v>54</v>
      </c>
      <c r="D32" s="12">
        <f t="shared" si="0"/>
        <v>63.30708661417323</v>
      </c>
      <c r="E32" s="12">
        <f t="shared" si="1"/>
        <v>119.07000000000001</v>
      </c>
      <c r="F32" s="12">
        <f t="shared" si="2"/>
        <v>-0.93859592854085616</v>
      </c>
      <c r="G32" s="12">
        <f t="shared" si="3"/>
        <v>-0.56776266062581926</v>
      </c>
      <c r="H32" s="12">
        <f t="shared" si="4"/>
        <v>0.53289972164091781</v>
      </c>
      <c r="I32" s="12"/>
      <c r="J32" s="12"/>
      <c r="K32" s="12"/>
    </row>
    <row r="33" spans="1:11">
      <c r="A33" s="12" t="s">
        <v>18</v>
      </c>
      <c r="B33" s="12">
        <v>163.1</v>
      </c>
      <c r="C33" s="12">
        <v>58</v>
      </c>
      <c r="D33" s="12">
        <f t="shared" si="0"/>
        <v>64.212598425196845</v>
      </c>
      <c r="E33" s="12">
        <f t="shared" si="1"/>
        <v>127.89</v>
      </c>
      <c r="F33" s="12">
        <f t="shared" si="2"/>
        <v>-0.68360294063110527</v>
      </c>
      <c r="G33" s="12">
        <f t="shared" si="3"/>
        <v>-0.20181830959403091</v>
      </c>
      <c r="H33" s="12">
        <f t="shared" si="4"/>
        <v>0.13796358991167834</v>
      </c>
      <c r="I33" s="12"/>
      <c r="J33" s="12"/>
      <c r="K33" s="12"/>
    </row>
    <row r="34" spans="1:11">
      <c r="A34" s="12" t="s">
        <v>18</v>
      </c>
      <c r="B34" s="12">
        <v>156.80000000000001</v>
      </c>
      <c r="C34" s="12">
        <v>40.799999999999997</v>
      </c>
      <c r="D34" s="12">
        <f t="shared" si="0"/>
        <v>61.732283464566933</v>
      </c>
      <c r="E34" s="12">
        <f t="shared" si="1"/>
        <v>89.963999999999999</v>
      </c>
      <c r="F34" s="12">
        <f t="shared" si="2"/>
        <v>-1.382061994470861</v>
      </c>
      <c r="G34" s="12">
        <f t="shared" si="3"/>
        <v>-1.7753790190307213</v>
      </c>
      <c r="H34" s="12">
        <f t="shared" si="4"/>
        <v>2.4536838679833193</v>
      </c>
      <c r="I34" s="12"/>
      <c r="J34" s="12"/>
      <c r="K34" s="12"/>
    </row>
    <row r="35" spans="1:11">
      <c r="A35" s="12" t="s">
        <v>18</v>
      </c>
      <c r="B35" s="12">
        <v>161.5</v>
      </c>
      <c r="C35" s="12">
        <v>47.7</v>
      </c>
      <c r="D35" s="12">
        <f t="shared" si="0"/>
        <v>63.582677165354333</v>
      </c>
      <c r="E35" s="12">
        <f t="shared" si="1"/>
        <v>105.17850000000001</v>
      </c>
      <c r="F35" s="12">
        <f t="shared" si="2"/>
        <v>-0.86098936700310658</v>
      </c>
      <c r="G35" s="12">
        <f t="shared" si="3"/>
        <v>-1.1441250135008858</v>
      </c>
      <c r="H35" s="12">
        <f t="shared" si="4"/>
        <v>0.98507947114654848</v>
      </c>
      <c r="I35" s="12"/>
      <c r="J35" s="12"/>
      <c r="K35" s="12"/>
    </row>
    <row r="36" spans="1:11">
      <c r="A36" s="12" t="s">
        <v>18</v>
      </c>
      <c r="B36" s="12">
        <v>161.4</v>
      </c>
      <c r="C36" s="12">
        <v>50</v>
      </c>
      <c r="D36" s="12">
        <f t="shared" si="0"/>
        <v>63.543307086614178</v>
      </c>
      <c r="E36" s="12">
        <f t="shared" si="1"/>
        <v>110.25</v>
      </c>
      <c r="F36" s="12">
        <f t="shared" si="2"/>
        <v>-0.87207601865135598</v>
      </c>
      <c r="G36" s="12">
        <f t="shared" si="3"/>
        <v>-0.93370701165760772</v>
      </c>
      <c r="H36" s="12">
        <f t="shared" si="4"/>
        <v>0.81426349331322179</v>
      </c>
      <c r="I36" s="12"/>
      <c r="J36" s="12"/>
      <c r="K36" s="12"/>
    </row>
    <row r="37" spans="1:11">
      <c r="A37" s="12" t="s">
        <v>18</v>
      </c>
      <c r="B37" s="12">
        <v>158.5</v>
      </c>
      <c r="C37" s="12">
        <v>45</v>
      </c>
      <c r="D37" s="12">
        <f t="shared" si="0"/>
        <v>62.401574803149607</v>
      </c>
      <c r="E37" s="12">
        <f t="shared" si="1"/>
        <v>99.225000000000009</v>
      </c>
      <c r="F37" s="12">
        <f t="shared" si="2"/>
        <v>-1.1935889164506102</v>
      </c>
      <c r="G37" s="12">
        <f t="shared" si="3"/>
        <v>-1.391137450447343</v>
      </c>
      <c r="H37" s="12">
        <f t="shared" si="4"/>
        <v>1.6604462421133086</v>
      </c>
      <c r="I37" s="12"/>
      <c r="J37" s="12"/>
      <c r="K37" s="12"/>
    </row>
    <row r="38" spans="1:11">
      <c r="A38" s="12" t="s">
        <v>18</v>
      </c>
      <c r="B38" s="12">
        <v>154.4</v>
      </c>
      <c r="C38" s="12">
        <v>47.7</v>
      </c>
      <c r="D38" s="12">
        <f t="shared" si="0"/>
        <v>60.787401574803148</v>
      </c>
      <c r="E38" s="12">
        <f t="shared" si="1"/>
        <v>105.17850000000001</v>
      </c>
      <c r="F38" s="12">
        <f t="shared" si="2"/>
        <v>-1.6481416340288644</v>
      </c>
      <c r="G38" s="12">
        <f t="shared" si="3"/>
        <v>-1.1441250135008858</v>
      </c>
      <c r="H38" s="12">
        <f t="shared" si="4"/>
        <v>1.8856800692846465</v>
      </c>
      <c r="I38" s="12"/>
      <c r="J38" s="12"/>
      <c r="K38" s="12"/>
    </row>
    <row r="39" spans="1:11">
      <c r="A39" s="12" t="s">
        <v>18</v>
      </c>
      <c r="B39" s="12">
        <v>159.1</v>
      </c>
      <c r="C39" s="12">
        <v>65</v>
      </c>
      <c r="D39" s="12">
        <f t="shared" si="0"/>
        <v>62.637795275590548</v>
      </c>
      <c r="E39" s="12">
        <f t="shared" si="1"/>
        <v>143.32500000000002</v>
      </c>
      <c r="F39" s="12">
        <f t="shared" si="2"/>
        <v>-1.12706900656111</v>
      </c>
      <c r="G39" s="12">
        <f t="shared" si="3"/>
        <v>0.43858430471159876</v>
      </c>
      <c r="H39" s="12">
        <f t="shared" si="4"/>
        <v>-0.49431477660459677</v>
      </c>
      <c r="I39" s="12"/>
      <c r="J39" s="12"/>
      <c r="K39" s="12"/>
    </row>
    <row r="40" spans="1:11">
      <c r="A40" s="12" t="s">
        <v>18</v>
      </c>
      <c r="B40" s="12">
        <v>168.8</v>
      </c>
      <c r="C40" s="12">
        <v>53.2</v>
      </c>
      <c r="D40" s="12">
        <f t="shared" si="0"/>
        <v>66.456692913385837</v>
      </c>
      <c r="E40" s="12">
        <f t="shared" si="1"/>
        <v>117.30600000000001</v>
      </c>
      <c r="F40" s="12">
        <f t="shared" si="2"/>
        <v>-5.1663796680846467E-2</v>
      </c>
      <c r="G40" s="12">
        <f t="shared" si="3"/>
        <v>-0.64095153083217671</v>
      </c>
      <c r="H40" s="12">
        <f t="shared" si="4"/>
        <v>3.3113989571190876E-2</v>
      </c>
      <c r="I40" s="12"/>
      <c r="J40" s="12"/>
      <c r="K40" s="12"/>
    </row>
    <row r="41" spans="1:11">
      <c r="A41" s="12" t="s">
        <v>18</v>
      </c>
      <c r="B41" s="12">
        <v>159.30000000000001</v>
      </c>
      <c r="C41" s="12">
        <v>46.9</v>
      </c>
      <c r="D41" s="12">
        <f t="shared" si="0"/>
        <v>62.716535433070867</v>
      </c>
      <c r="E41" s="12">
        <f t="shared" si="1"/>
        <v>103.4145</v>
      </c>
      <c r="F41" s="12">
        <f t="shared" si="2"/>
        <v>-1.1048957032646078</v>
      </c>
      <c r="G41" s="12">
        <f t="shared" si="3"/>
        <v>-1.2173138837072439</v>
      </c>
      <c r="H41" s="12">
        <f t="shared" si="4"/>
        <v>1.3450048796324863</v>
      </c>
      <c r="I41" s="12"/>
      <c r="J41" s="12"/>
      <c r="K41" s="12"/>
    </row>
    <row r="42" spans="1:11">
      <c r="A42" s="12" t="s">
        <v>18</v>
      </c>
      <c r="B42" s="12">
        <v>161.4</v>
      </c>
      <c r="C42" s="12">
        <v>50.5</v>
      </c>
      <c r="D42" s="12">
        <f t="shared" si="0"/>
        <v>63.543307086614178</v>
      </c>
      <c r="E42" s="12">
        <f t="shared" si="1"/>
        <v>111.35250000000001</v>
      </c>
      <c r="F42" s="12">
        <f t="shared" si="2"/>
        <v>-0.87207601865135598</v>
      </c>
      <c r="G42" s="12">
        <f t="shared" si="3"/>
        <v>-0.88796396777863418</v>
      </c>
      <c r="H42" s="12">
        <f t="shared" si="4"/>
        <v>0.77437208172625227</v>
      </c>
      <c r="I42" s="12"/>
      <c r="J42" s="12"/>
      <c r="K42" s="12"/>
    </row>
    <row r="43" spans="1:11">
      <c r="A43" s="12" t="s">
        <v>18</v>
      </c>
      <c r="B43" s="12">
        <v>159.19999999999999</v>
      </c>
      <c r="C43" s="12">
        <v>53.2</v>
      </c>
      <c r="D43" s="12">
        <f t="shared" si="0"/>
        <v>62.677165354330704</v>
      </c>
      <c r="E43" s="12">
        <f t="shared" si="1"/>
        <v>117.30600000000001</v>
      </c>
      <c r="F43" s="12">
        <f t="shared" si="2"/>
        <v>-1.1159823549128605</v>
      </c>
      <c r="G43" s="12">
        <f t="shared" si="3"/>
        <v>-0.64095153083217671</v>
      </c>
      <c r="H43" s="12">
        <f t="shared" si="4"/>
        <v>0.71529059876309542</v>
      </c>
      <c r="I43" s="12"/>
      <c r="J43" s="12"/>
      <c r="K43" s="12"/>
    </row>
    <row r="44" spans="1:11">
      <c r="A44" s="12" t="s">
        <v>18</v>
      </c>
      <c r="B44" s="12">
        <v>170.2</v>
      </c>
      <c r="C44" s="12">
        <v>51.1</v>
      </c>
      <c r="D44" s="12">
        <f t="shared" si="0"/>
        <v>67.00787401574803</v>
      </c>
      <c r="E44" s="12">
        <f t="shared" si="1"/>
        <v>112.67550000000001</v>
      </c>
      <c r="F44" s="12">
        <f t="shared" si="2"/>
        <v>0.1035493263946527</v>
      </c>
      <c r="G44" s="12">
        <f t="shared" si="3"/>
        <v>-0.8330723151238657</v>
      </c>
      <c r="H44" s="12">
        <f t="shared" si="4"/>
        <v>-8.6264077069110129E-2</v>
      </c>
      <c r="I44" s="12"/>
      <c r="J44" s="12"/>
      <c r="K44" s="12"/>
    </row>
    <row r="45" spans="1:11">
      <c r="A45" s="12" t="s">
        <v>18</v>
      </c>
      <c r="B45" s="12">
        <v>163.6</v>
      </c>
      <c r="C45" s="12">
        <v>46.4</v>
      </c>
      <c r="D45" s="12">
        <f t="shared" si="0"/>
        <v>64.40944881889763</v>
      </c>
      <c r="E45" s="12">
        <f t="shared" si="1"/>
        <v>102.312</v>
      </c>
      <c r="F45" s="12">
        <f t="shared" si="2"/>
        <v>-0.6281696823898546</v>
      </c>
      <c r="G45" s="12">
        <f t="shared" si="3"/>
        <v>-1.2630569275862173</v>
      </c>
      <c r="H45" s="12">
        <f t="shared" si="4"/>
        <v>0.79341406904213974</v>
      </c>
      <c r="I45" s="12"/>
      <c r="J45" s="12"/>
      <c r="K45" s="12"/>
    </row>
    <row r="46" spans="1:11">
      <c r="A46" s="12" t="s">
        <v>18</v>
      </c>
      <c r="B46" s="12">
        <v>165.1</v>
      </c>
      <c r="C46" s="12">
        <v>50</v>
      </c>
      <c r="D46" s="12">
        <f t="shared" si="0"/>
        <v>65</v>
      </c>
      <c r="E46" s="12">
        <f t="shared" si="1"/>
        <v>110.25</v>
      </c>
      <c r="F46" s="12">
        <f t="shared" si="2"/>
        <v>-0.46186990766610281</v>
      </c>
      <c r="G46" s="12">
        <f t="shared" si="3"/>
        <v>-0.93370701165760772</v>
      </c>
      <c r="H46" s="12">
        <f t="shared" si="4"/>
        <v>0.43125117126149204</v>
      </c>
      <c r="I46" s="12"/>
      <c r="J46" s="12"/>
      <c r="K46" s="12"/>
    </row>
    <row r="47" spans="1:11">
      <c r="A47" s="12" t="s">
        <v>18</v>
      </c>
      <c r="B47" s="12">
        <v>165.8</v>
      </c>
      <c r="C47" s="12">
        <v>53</v>
      </c>
      <c r="D47" s="12">
        <f t="shared" si="0"/>
        <v>65.275590551181111</v>
      </c>
      <c r="E47" s="12">
        <f t="shared" si="1"/>
        <v>116.86500000000001</v>
      </c>
      <c r="F47" s="12">
        <f t="shared" si="2"/>
        <v>-0.38426334612835011</v>
      </c>
      <c r="G47" s="12">
        <f t="shared" si="3"/>
        <v>-0.65924874838376635</v>
      </c>
      <c r="H47" s="12">
        <f t="shared" si="4"/>
        <v>0.25332512998487278</v>
      </c>
      <c r="I47" s="12"/>
      <c r="J47" s="12"/>
      <c r="K47" s="12"/>
    </row>
    <row r="48" spans="1:11">
      <c r="A48" s="12" t="s">
        <v>18</v>
      </c>
      <c r="B48" s="12">
        <v>160.6</v>
      </c>
      <c r="C48" s="12">
        <v>55</v>
      </c>
      <c r="D48" s="12">
        <f t="shared" si="0"/>
        <v>63.228346456692911</v>
      </c>
      <c r="E48" s="12">
        <f t="shared" si="1"/>
        <v>121.27500000000001</v>
      </c>
      <c r="F48" s="12">
        <f t="shared" si="2"/>
        <v>-0.9607692318373583</v>
      </c>
      <c r="G48" s="12">
        <f t="shared" si="3"/>
        <v>-0.47627657286787223</v>
      </c>
      <c r="H48" s="12">
        <f t="shared" si="4"/>
        <v>0.4575918770563952</v>
      </c>
      <c r="I48" s="12"/>
      <c r="J48" s="12"/>
      <c r="K48" s="12"/>
    </row>
    <row r="49" spans="1:11">
      <c r="A49" s="12" t="s">
        <v>18</v>
      </c>
      <c r="B49" s="12">
        <v>174</v>
      </c>
      <c r="C49" s="12">
        <v>60</v>
      </c>
      <c r="D49" s="12">
        <f t="shared" si="0"/>
        <v>68.503937007874015</v>
      </c>
      <c r="E49" s="12">
        <f t="shared" si="1"/>
        <v>132.30000000000001</v>
      </c>
      <c r="F49" s="12">
        <f t="shared" si="2"/>
        <v>0.52484208902815854</v>
      </c>
      <c r="G49" s="12">
        <f t="shared" si="3"/>
        <v>-1.8846134078136734E-2</v>
      </c>
      <c r="H49" s="12">
        <f t="shared" si="4"/>
        <v>-9.891244379674053E-3</v>
      </c>
      <c r="I49" s="12"/>
      <c r="J49" s="12"/>
      <c r="K49" s="12"/>
    </row>
    <row r="50" spans="1:11">
      <c r="A50" s="12" t="s">
        <v>18</v>
      </c>
      <c r="B50" s="12">
        <v>162.19999999999999</v>
      </c>
      <c r="C50" s="12">
        <v>50</v>
      </c>
      <c r="D50" s="12">
        <f t="shared" si="0"/>
        <v>63.85826771653543</v>
      </c>
      <c r="E50" s="12">
        <f t="shared" si="1"/>
        <v>110.25</v>
      </c>
      <c r="F50" s="12">
        <f t="shared" si="2"/>
        <v>-0.78338280546535699</v>
      </c>
      <c r="G50" s="12">
        <f t="shared" si="3"/>
        <v>-0.93370701165760772</v>
      </c>
      <c r="H50" s="12">
        <f t="shared" si="4"/>
        <v>0.73145001827501155</v>
      </c>
      <c r="I50" s="12"/>
      <c r="J50" s="12"/>
      <c r="K50" s="12"/>
    </row>
    <row r="51" spans="1:11">
      <c r="A51" s="12" t="s">
        <v>18</v>
      </c>
      <c r="B51" s="12">
        <v>171.8</v>
      </c>
      <c r="C51" s="12">
        <v>52</v>
      </c>
      <c r="D51" s="12">
        <f t="shared" si="0"/>
        <v>67.637795275590548</v>
      </c>
      <c r="E51" s="12">
        <f t="shared" si="1"/>
        <v>114.66</v>
      </c>
      <c r="F51" s="12">
        <f t="shared" si="2"/>
        <v>0.28093575276665717</v>
      </c>
      <c r="G51" s="12">
        <f t="shared" si="3"/>
        <v>-0.75073483614171355</v>
      </c>
      <c r="H51" s="12">
        <f t="shared" si="4"/>
        <v>-0.21090825631962531</v>
      </c>
      <c r="I51" s="12"/>
      <c r="J51" s="12"/>
      <c r="K51" s="12"/>
    </row>
    <row r="52" spans="1:11">
      <c r="B52">
        <f>AVERAGEA(B2:B51)</f>
        <v>169.26600000000002</v>
      </c>
      <c r="C52">
        <f>AVERAGEA(C2:C51)</f>
        <v>60.205999999999996</v>
      </c>
      <c r="D52">
        <f t="shared" ref="D52:G52" si="5">AVERAGEA(D2:D51)</f>
        <v>66.640157480314969</v>
      </c>
      <c r="E52">
        <f t="shared" si="5"/>
        <v>132.75422999999995</v>
      </c>
      <c r="F52">
        <f t="shared" si="5"/>
        <v>-2.0472512574087888E-15</v>
      </c>
      <c r="G52">
        <f t="shared" si="5"/>
        <v>4.6185277824406514E-16</v>
      </c>
      <c r="H52">
        <f>SUM(H2:H51)/50</f>
        <v>0.8473451478169971</v>
      </c>
    </row>
    <row r="53" spans="1:11">
      <c r="B53">
        <f>STDEV(B2:B51)</f>
        <v>9.0198558746800401</v>
      </c>
      <c r="C53">
        <f>STDEV(C2:C51)</f>
        <v>10.930623710195032</v>
      </c>
      <c r="D53">
        <f t="shared" ref="D53:G53" si="6">STDEV(D2:D51)</f>
        <v>3.5511243601102516</v>
      </c>
      <c r="E53">
        <f t="shared" si="6"/>
        <v>24.102025280980431</v>
      </c>
      <c r="F53">
        <f t="shared" si="6"/>
        <v>0.99999999999999978</v>
      </c>
      <c r="G53">
        <f t="shared" si="6"/>
        <v>0.999999999999999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FC3C4-DD8F-3A4F-ADBC-CD5398C74436}">
  <sheetPr codeName="Sheet7">
    <outlinePr summaryBelow="0" summaryRight="0"/>
  </sheetPr>
  <dimension ref="A1:B51"/>
  <sheetViews>
    <sheetView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7" t="s">
        <v>10</v>
      </c>
      <c r="B1" s="7" t="s">
        <v>11</v>
      </c>
    </row>
    <row r="2" spans="1:2" ht="13" customHeight="1">
      <c r="A2" s="2">
        <v>37.049999999999997</v>
      </c>
      <c r="B2" s="2">
        <v>3.39</v>
      </c>
    </row>
    <row r="3" spans="1:2" ht="13" customHeight="1">
      <c r="A3" s="2">
        <v>38.14</v>
      </c>
      <c r="B3" s="2">
        <v>2.9</v>
      </c>
    </row>
    <row r="4" spans="1:2" ht="13" customHeight="1">
      <c r="A4" s="2">
        <v>36.909999999999997</v>
      </c>
      <c r="B4" s="2">
        <v>3.24</v>
      </c>
    </row>
    <row r="5" spans="1:2" ht="13" customHeight="1">
      <c r="A5" s="2">
        <v>44.86</v>
      </c>
      <c r="B5" s="2">
        <v>3.12</v>
      </c>
    </row>
    <row r="6" spans="1:2" ht="13" customHeight="1">
      <c r="A6" s="2">
        <v>35.880000000000003</v>
      </c>
      <c r="B6" s="2">
        <v>3.78</v>
      </c>
    </row>
    <row r="7" spans="1:2" ht="13" customHeight="1">
      <c r="A7" s="2">
        <v>40.770000000000003</v>
      </c>
      <c r="B7" s="2">
        <v>3.33</v>
      </c>
    </row>
    <row r="8" spans="1:2" ht="13" customHeight="1">
      <c r="A8" s="2">
        <v>39.51</v>
      </c>
      <c r="B8" s="2">
        <v>3.37</v>
      </c>
    </row>
    <row r="9" spans="1:2" ht="13" customHeight="1">
      <c r="A9" s="2">
        <v>45.81</v>
      </c>
      <c r="B9" s="2">
        <v>2.99</v>
      </c>
    </row>
    <row r="10" spans="1:2" ht="13" customHeight="1">
      <c r="A10" s="2">
        <v>36.229999999999997</v>
      </c>
      <c r="B10" s="2">
        <v>2.96</v>
      </c>
    </row>
    <row r="11" spans="1:2" ht="13" customHeight="1">
      <c r="A11" s="2">
        <v>39.380000000000003</v>
      </c>
      <c r="B11" s="2">
        <v>2.98</v>
      </c>
    </row>
    <row r="12" spans="1:2" ht="13" customHeight="1">
      <c r="A12" s="2">
        <v>45.66</v>
      </c>
      <c r="B12" s="2">
        <v>3.4</v>
      </c>
    </row>
    <row r="13" spans="1:2" ht="13" customHeight="1">
      <c r="A13" s="2">
        <v>44.52</v>
      </c>
      <c r="B13" s="2">
        <v>2.99</v>
      </c>
    </row>
    <row r="14" spans="1:2" ht="13" customHeight="1">
      <c r="A14" s="2">
        <v>43.99</v>
      </c>
      <c r="B14" s="2">
        <v>3.34</v>
      </c>
    </row>
    <row r="15" spans="1:2" ht="13" customHeight="1">
      <c r="A15" s="2">
        <v>37.840000000000003</v>
      </c>
      <c r="B15" s="2">
        <v>4</v>
      </c>
    </row>
    <row r="16" spans="1:2" ht="13" customHeight="1">
      <c r="A16" s="2">
        <v>36.880000000000003</v>
      </c>
      <c r="B16" s="2">
        <v>3.64</v>
      </c>
    </row>
    <row r="17" spans="1:2" ht="13" customHeight="1">
      <c r="A17" s="2">
        <v>42.36</v>
      </c>
      <c r="B17" s="2">
        <v>3.04</v>
      </c>
    </row>
    <row r="18" spans="1:2" ht="13" customHeight="1">
      <c r="A18" s="2">
        <v>45.22</v>
      </c>
      <c r="B18" s="2">
        <v>3.8</v>
      </c>
    </row>
    <row r="19" spans="1:2" ht="13" customHeight="1">
      <c r="A19" s="2">
        <v>41.12</v>
      </c>
      <c r="B19" s="2">
        <v>3</v>
      </c>
    </row>
    <row r="20" spans="1:2" ht="13" customHeight="1">
      <c r="A20" s="2">
        <v>41.29</v>
      </c>
      <c r="B20" s="2">
        <v>2.1800000000000002</v>
      </c>
    </row>
    <row r="21" spans="1:2" ht="13" customHeight="1">
      <c r="A21" s="2">
        <v>38.08</v>
      </c>
      <c r="B21" s="2">
        <v>2.7</v>
      </c>
    </row>
    <row r="22" spans="1:2" ht="13" customHeight="1">
      <c r="A22" s="2">
        <v>43.46</v>
      </c>
      <c r="B22" s="2">
        <v>2.2599999999999998</v>
      </c>
    </row>
    <row r="23" spans="1:2" ht="13" customHeight="1">
      <c r="A23" s="2">
        <v>37.06</v>
      </c>
      <c r="B23" s="2">
        <v>3.02</v>
      </c>
    </row>
    <row r="24" spans="1:2" ht="13" customHeight="1">
      <c r="A24" s="2">
        <v>38.56</v>
      </c>
      <c r="B24" s="2">
        <v>3.21</v>
      </c>
    </row>
    <row r="25" spans="1:2" ht="13" customHeight="1">
      <c r="A25" s="2">
        <v>39.68</v>
      </c>
      <c r="B25" s="2">
        <v>4</v>
      </c>
    </row>
    <row r="26" spans="1:2" ht="13" customHeight="1">
      <c r="A26" s="2">
        <v>40.58</v>
      </c>
      <c r="B26" s="2">
        <v>3.36</v>
      </c>
    </row>
    <row r="27" spans="1:2" ht="13" customHeight="1">
      <c r="A27" s="2">
        <v>37.67</v>
      </c>
      <c r="B27" s="2">
        <v>3.09</v>
      </c>
    </row>
    <row r="28" spans="1:2" ht="13" customHeight="1">
      <c r="A28" s="2">
        <v>36.26</v>
      </c>
      <c r="B28" s="2">
        <v>3.61</v>
      </c>
    </row>
    <row r="29" spans="1:2" ht="13" customHeight="1">
      <c r="A29" s="2">
        <v>41.72</v>
      </c>
      <c r="B29" s="2">
        <v>2.09</v>
      </c>
    </row>
    <row r="30" spans="1:2" ht="13" customHeight="1">
      <c r="A30" s="2">
        <v>38.17</v>
      </c>
      <c r="B30" s="2">
        <v>3.32</v>
      </c>
    </row>
    <row r="31" spans="1:2" ht="13" customHeight="1">
      <c r="A31" s="2">
        <v>41.39</v>
      </c>
      <c r="B31" s="2">
        <v>3.59</v>
      </c>
    </row>
    <row r="32" spans="1:2" ht="13" customHeight="1">
      <c r="A32" s="2">
        <v>36.700000000000003</v>
      </c>
      <c r="B32" s="2">
        <v>2.46</v>
      </c>
    </row>
    <row r="33" spans="1:2" ht="13" customHeight="1">
      <c r="A33" s="2">
        <v>40.29</v>
      </c>
      <c r="B33" s="2">
        <v>3.77</v>
      </c>
    </row>
    <row r="34" spans="1:2" ht="13" customHeight="1">
      <c r="A34" s="2">
        <v>40.86</v>
      </c>
      <c r="B34" s="2">
        <v>3.37</v>
      </c>
    </row>
    <row r="35" spans="1:2" ht="13" customHeight="1">
      <c r="A35" s="2">
        <v>35.57</v>
      </c>
      <c r="B35" s="2">
        <v>2.99</v>
      </c>
    </row>
    <row r="36" spans="1:2" ht="13" customHeight="1">
      <c r="A36" s="2">
        <v>38.700000000000003</v>
      </c>
      <c r="B36" s="2">
        <v>3.52</v>
      </c>
    </row>
    <row r="37" spans="1:2" ht="13" customHeight="1">
      <c r="A37" s="2">
        <v>36.479999999999997</v>
      </c>
      <c r="B37" s="2">
        <v>4</v>
      </c>
    </row>
    <row r="38" spans="1:2" ht="13" customHeight="1">
      <c r="A38" s="2">
        <v>35.700000000000003</v>
      </c>
      <c r="B38" s="2">
        <v>3.29</v>
      </c>
    </row>
    <row r="39" spans="1:2" ht="13" customHeight="1">
      <c r="A39" s="2">
        <v>45.89</v>
      </c>
      <c r="B39" s="2">
        <v>3.32</v>
      </c>
    </row>
    <row r="40" spans="1:2" ht="13" customHeight="1">
      <c r="A40" s="2">
        <v>38.549999999999997</v>
      </c>
      <c r="B40" s="2">
        <v>2.97</v>
      </c>
    </row>
    <row r="41" spans="1:2" ht="13" customHeight="1">
      <c r="A41" s="2">
        <v>43.91</v>
      </c>
      <c r="B41" s="2">
        <v>2.78</v>
      </c>
    </row>
    <row r="42" spans="1:2" ht="13" customHeight="1">
      <c r="A42" s="2">
        <v>37.799999999999997</v>
      </c>
      <c r="B42" s="2">
        <v>3.62</v>
      </c>
    </row>
    <row r="43" spans="1:2" ht="13" customHeight="1">
      <c r="A43" s="2">
        <v>42.5</v>
      </c>
      <c r="B43" s="2">
        <v>2.77</v>
      </c>
    </row>
    <row r="44" spans="1:2" ht="13" customHeight="1">
      <c r="A44" s="2">
        <v>43.36</v>
      </c>
      <c r="B44" s="2">
        <v>3.24</v>
      </c>
    </row>
    <row r="45" spans="1:2" ht="13" customHeight="1">
      <c r="A45" s="2">
        <v>41.55</v>
      </c>
      <c r="B45" s="2">
        <v>2.96</v>
      </c>
    </row>
    <row r="46" spans="1:2" ht="13" customHeight="1">
      <c r="A46" s="2">
        <v>40.19</v>
      </c>
      <c r="B46" s="2">
        <v>3.44</v>
      </c>
    </row>
    <row r="47" spans="1:2" ht="13" customHeight="1">
      <c r="A47" s="2">
        <v>39.53</v>
      </c>
      <c r="B47" s="2">
        <v>3.37</v>
      </c>
    </row>
    <row r="48" spans="1:2" ht="13" customHeight="1">
      <c r="A48" s="2">
        <v>38.840000000000003</v>
      </c>
      <c r="B48" s="2">
        <v>3.72</v>
      </c>
    </row>
    <row r="49" spans="1:2" ht="13" customHeight="1">
      <c r="A49" s="2">
        <v>45.22</v>
      </c>
      <c r="B49" s="2">
        <v>2.94</v>
      </c>
    </row>
    <row r="50" spans="1:2" ht="13" customHeight="1">
      <c r="A50" s="2">
        <v>44.14</v>
      </c>
      <c r="B50" s="2">
        <v>3.07</v>
      </c>
    </row>
    <row r="51" spans="1:2" ht="13" customHeight="1">
      <c r="A51" s="2">
        <v>45.62</v>
      </c>
      <c r="B51" s="2">
        <v>2.71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36694-D858-3949-B7EE-BD13AA041F15}">
  <sheetPr codeName="Sheet8">
    <outlinePr summaryBelow="0" summaryRight="0"/>
  </sheetPr>
  <dimension ref="A1:B52"/>
  <sheetViews>
    <sheetView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8" t="s">
        <v>12</v>
      </c>
      <c r="B1" s="8" t="s">
        <v>13</v>
      </c>
    </row>
    <row r="2" spans="1:2" ht="13" customHeight="1">
      <c r="A2" s="2">
        <v>31.89</v>
      </c>
      <c r="B2" s="2">
        <v>46.32</v>
      </c>
    </row>
    <row r="3" spans="1:2" ht="13" customHeight="1">
      <c r="A3" s="2">
        <v>6</v>
      </c>
      <c r="B3" s="2">
        <v>73.209999999999994</v>
      </c>
    </row>
    <row r="4" spans="1:2" ht="13" customHeight="1">
      <c r="A4" s="2">
        <v>9.17</v>
      </c>
      <c r="B4" s="2">
        <v>73.45</v>
      </c>
    </row>
    <row r="5" spans="1:2" ht="13" customHeight="1">
      <c r="A5" s="2">
        <v>28.89</v>
      </c>
      <c r="B5" s="2">
        <v>49.58</v>
      </c>
    </row>
    <row r="6" spans="1:2" ht="13" customHeight="1">
      <c r="A6" s="2">
        <v>28.8</v>
      </c>
      <c r="B6" s="2">
        <v>54.75</v>
      </c>
    </row>
    <row r="7" spans="1:2" ht="13" customHeight="1">
      <c r="A7" s="2">
        <v>25.65</v>
      </c>
      <c r="B7" s="2">
        <v>76.34</v>
      </c>
    </row>
    <row r="8" spans="1:2" ht="13" customHeight="1">
      <c r="A8" s="2">
        <v>27.76</v>
      </c>
      <c r="B8" s="2">
        <v>59.29</v>
      </c>
    </row>
    <row r="9" spans="1:2" ht="13" customHeight="1">
      <c r="A9" s="2">
        <v>21.71</v>
      </c>
      <c r="B9" s="2">
        <v>70.73</v>
      </c>
    </row>
    <row r="10" spans="1:2" ht="13" customHeight="1">
      <c r="A10" s="2">
        <v>10.07</v>
      </c>
      <c r="B10" s="2">
        <v>80.13</v>
      </c>
    </row>
    <row r="11" spans="1:2" ht="13" customHeight="1">
      <c r="A11" s="2">
        <v>13.83</v>
      </c>
      <c r="B11" s="2">
        <v>83.43</v>
      </c>
    </row>
    <row r="12" spans="1:2" ht="13" customHeight="1">
      <c r="A12" s="2">
        <v>7.26</v>
      </c>
      <c r="B12" s="2">
        <v>62.54</v>
      </c>
    </row>
    <row r="13" spans="1:2" ht="13" customHeight="1">
      <c r="A13" s="2">
        <v>36.340000000000003</v>
      </c>
      <c r="B13" s="2">
        <v>40</v>
      </c>
    </row>
    <row r="14" spans="1:2" ht="13" customHeight="1">
      <c r="A14" s="2">
        <v>23.34</v>
      </c>
      <c r="B14" s="2">
        <v>73.42</v>
      </c>
    </row>
    <row r="15" spans="1:2" ht="13" customHeight="1">
      <c r="A15" s="2">
        <v>16.03</v>
      </c>
      <c r="B15" s="2">
        <v>88.32</v>
      </c>
    </row>
    <row r="16" spans="1:2" ht="13" customHeight="1">
      <c r="A16" s="2">
        <v>18.48</v>
      </c>
      <c r="B16" s="2">
        <v>92.43</v>
      </c>
    </row>
    <row r="17" spans="1:2" ht="13" customHeight="1">
      <c r="A17" s="2">
        <v>37.89</v>
      </c>
      <c r="B17" s="2">
        <v>40</v>
      </c>
    </row>
    <row r="18" spans="1:2" ht="13" customHeight="1">
      <c r="A18" s="2">
        <v>6.13</v>
      </c>
      <c r="B18" s="2">
        <v>71.86</v>
      </c>
    </row>
    <row r="19" spans="1:2" ht="13" customHeight="1">
      <c r="A19" s="2">
        <v>23.45</v>
      </c>
      <c r="B19" s="2">
        <v>68.760000000000005</v>
      </c>
    </row>
    <row r="20" spans="1:2" ht="13" customHeight="1">
      <c r="A20" s="2">
        <v>20.239999999999998</v>
      </c>
      <c r="B20" s="2">
        <v>93.76</v>
      </c>
    </row>
    <row r="21" spans="1:2" ht="13" customHeight="1">
      <c r="A21" s="2">
        <v>24.46</v>
      </c>
      <c r="B21" s="2">
        <v>71.88</v>
      </c>
    </row>
    <row r="22" spans="1:2" ht="13" customHeight="1">
      <c r="A22" s="2">
        <v>0.72</v>
      </c>
      <c r="B22" s="2">
        <v>54.5</v>
      </c>
    </row>
    <row r="23" spans="1:2" ht="13" customHeight="1">
      <c r="A23" s="2">
        <v>34.880000000000003</v>
      </c>
      <c r="B23" s="2">
        <v>40</v>
      </c>
    </row>
    <row r="24" spans="1:2" ht="13" customHeight="1">
      <c r="A24" s="2">
        <v>37.28</v>
      </c>
      <c r="B24" s="2">
        <v>40</v>
      </c>
    </row>
    <row r="25" spans="1:2" ht="13" customHeight="1">
      <c r="A25" s="2">
        <v>22.61</v>
      </c>
      <c r="B25" s="2">
        <v>75.599999999999994</v>
      </c>
    </row>
    <row r="26" spans="1:2" ht="13" customHeight="1">
      <c r="A26" s="2">
        <v>27.87</v>
      </c>
      <c r="B26" s="2">
        <v>57.3</v>
      </c>
    </row>
    <row r="27" spans="1:2" ht="13" customHeight="1">
      <c r="A27" s="2">
        <v>36.9</v>
      </c>
      <c r="B27" s="2">
        <v>40</v>
      </c>
    </row>
    <row r="28" spans="1:2" ht="13" customHeight="1">
      <c r="A28" s="2">
        <v>28.29</v>
      </c>
      <c r="B28" s="2">
        <v>58.34</v>
      </c>
    </row>
    <row r="29" spans="1:2" ht="13" customHeight="1">
      <c r="A29" s="2">
        <v>6.1</v>
      </c>
      <c r="B29" s="2">
        <v>70.41</v>
      </c>
    </row>
    <row r="30" spans="1:2" ht="13" customHeight="1">
      <c r="A30" s="2">
        <v>23.05</v>
      </c>
      <c r="B30" s="2">
        <v>71.709999999999994</v>
      </c>
    </row>
    <row r="31" spans="1:2" ht="13" customHeight="1">
      <c r="A31" s="2">
        <v>24.27</v>
      </c>
      <c r="B31" s="2">
        <v>72.650000000000006</v>
      </c>
    </row>
    <row r="32" spans="1:2" ht="13" customHeight="1">
      <c r="A32" s="2">
        <v>16.97</v>
      </c>
      <c r="B32" s="2">
        <v>83.15</v>
      </c>
    </row>
    <row r="33" spans="1:2" ht="13" customHeight="1">
      <c r="A33" s="2">
        <v>29.46</v>
      </c>
      <c r="B33" s="2">
        <v>61.17</v>
      </c>
    </row>
    <row r="34" spans="1:2" ht="13" customHeight="1">
      <c r="A34" s="2">
        <v>37.369999999999997</v>
      </c>
      <c r="B34" s="2">
        <v>40</v>
      </c>
    </row>
    <row r="35" spans="1:2" ht="13" customHeight="1">
      <c r="A35" s="2">
        <v>37.020000000000003</v>
      </c>
      <c r="B35" s="2">
        <v>40</v>
      </c>
    </row>
    <row r="36" spans="1:2" ht="13" customHeight="1">
      <c r="A36" s="2">
        <v>18.03</v>
      </c>
      <c r="B36" s="2">
        <v>89.85</v>
      </c>
    </row>
    <row r="37" spans="1:2" ht="13" customHeight="1">
      <c r="A37" s="2">
        <v>4.53</v>
      </c>
      <c r="B37" s="2">
        <v>58.19</v>
      </c>
    </row>
    <row r="38" spans="1:2" ht="13" customHeight="1">
      <c r="A38" s="2">
        <v>39.39</v>
      </c>
      <c r="B38" s="2">
        <v>40</v>
      </c>
    </row>
    <row r="39" spans="1:2" ht="13" customHeight="1">
      <c r="A39" s="2">
        <v>33.56</v>
      </c>
      <c r="B39" s="2">
        <v>40</v>
      </c>
    </row>
    <row r="40" spans="1:2" ht="13" customHeight="1">
      <c r="A40" s="2">
        <v>4.99</v>
      </c>
      <c r="B40" s="2">
        <v>62.92</v>
      </c>
    </row>
    <row r="41" spans="1:2" ht="13" customHeight="1">
      <c r="A41" s="2">
        <v>36.83</v>
      </c>
      <c r="B41" s="2">
        <v>40</v>
      </c>
    </row>
    <row r="42" spans="1:2" ht="13" customHeight="1">
      <c r="A42" s="2">
        <v>34.799999999999997</v>
      </c>
      <c r="B42" s="2">
        <v>40</v>
      </c>
    </row>
    <row r="43" spans="1:2" ht="13" customHeight="1">
      <c r="A43" s="2">
        <v>20.75</v>
      </c>
      <c r="B43" s="2">
        <v>88.8</v>
      </c>
    </row>
    <row r="44" spans="1:2" ht="13" customHeight="1">
      <c r="A44" s="2">
        <v>23.65</v>
      </c>
      <c r="B44" s="2">
        <v>78.45</v>
      </c>
    </row>
    <row r="45" spans="1:2" ht="13" customHeight="1">
      <c r="A45" s="2">
        <v>15.96</v>
      </c>
      <c r="B45" s="2">
        <v>91.22</v>
      </c>
    </row>
    <row r="46" spans="1:2" ht="13" customHeight="1">
      <c r="A46" s="2">
        <v>2.19</v>
      </c>
      <c r="B46" s="2">
        <v>64</v>
      </c>
    </row>
    <row r="47" spans="1:2" ht="13" customHeight="1">
      <c r="A47" s="2">
        <v>13.41</v>
      </c>
      <c r="B47" s="2">
        <v>78.97</v>
      </c>
    </row>
    <row r="48" spans="1:2" ht="13" customHeight="1">
      <c r="A48" s="2">
        <v>32.11</v>
      </c>
      <c r="B48" s="2">
        <v>40</v>
      </c>
    </row>
    <row r="49" spans="1:2" ht="13" customHeight="1">
      <c r="A49" s="2">
        <v>0.19</v>
      </c>
      <c r="B49" s="2">
        <v>54.53</v>
      </c>
    </row>
    <row r="50" spans="1:2" ht="13" customHeight="1">
      <c r="A50" s="2">
        <v>13.34</v>
      </c>
      <c r="B50" s="2">
        <v>78.48</v>
      </c>
    </row>
    <row r="51" spans="1:2" ht="13" customHeight="1">
      <c r="A51" s="2">
        <v>15.93</v>
      </c>
      <c r="B51" s="2">
        <v>88.44</v>
      </c>
    </row>
    <row r="52" spans="1:2">
      <c r="A52">
        <v>30</v>
      </c>
      <c r="B52">
        <v>20.100000000000001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80ED2-BAF3-6542-ABC0-4A9F557A2C8D}">
  <sheetPr codeName="Sheet9">
    <outlinePr summaryBelow="0" summaryRight="0"/>
  </sheetPr>
  <dimension ref="A1:B51"/>
  <sheetViews>
    <sheetView tabSelected="1" workbookViewId="0">
      <selection sqref="A1:XFD1"/>
    </sheetView>
  </sheetViews>
  <sheetFormatPr baseColWidth="10" defaultColWidth="7" defaultRowHeight="15"/>
  <cols>
    <col min="1" max="2" width="15" customWidth="1"/>
  </cols>
  <sheetData>
    <row r="1" spans="1:2" ht="25" customHeight="1">
      <c r="A1" s="9" t="s">
        <v>14</v>
      </c>
      <c r="B1" s="9" t="s">
        <v>15</v>
      </c>
    </row>
    <row r="2" spans="1:2" ht="13" customHeight="1">
      <c r="A2" s="2">
        <v>4.78</v>
      </c>
      <c r="B2" s="2">
        <v>56.57</v>
      </c>
    </row>
    <row r="3" spans="1:2" ht="13" customHeight="1">
      <c r="A3" s="2">
        <v>8.81</v>
      </c>
      <c r="B3" s="2">
        <v>53.54</v>
      </c>
    </row>
    <row r="4" spans="1:2" ht="13" customHeight="1">
      <c r="A4" s="2">
        <v>22.22</v>
      </c>
      <c r="B4" s="2">
        <v>71.709999999999994</v>
      </c>
    </row>
    <row r="5" spans="1:2" ht="13" customHeight="1">
      <c r="A5" s="2">
        <v>25.96</v>
      </c>
      <c r="B5" s="2">
        <v>60.83</v>
      </c>
    </row>
    <row r="6" spans="1:2" ht="13" customHeight="1">
      <c r="A6" s="2">
        <v>25.25</v>
      </c>
      <c r="B6" s="2">
        <v>76.91</v>
      </c>
    </row>
    <row r="7" spans="1:2" ht="13" customHeight="1">
      <c r="A7" s="2">
        <v>13.12</v>
      </c>
      <c r="B7" s="2">
        <v>66</v>
      </c>
    </row>
    <row r="8" spans="1:2" ht="13" customHeight="1">
      <c r="A8" s="2">
        <v>20.71</v>
      </c>
      <c r="B8" s="2">
        <v>69.95</v>
      </c>
    </row>
    <row r="9" spans="1:2" ht="13" customHeight="1">
      <c r="A9" s="2">
        <v>7.74</v>
      </c>
      <c r="B9" s="2">
        <v>64.290000000000006</v>
      </c>
    </row>
    <row r="10" spans="1:2" ht="13" customHeight="1">
      <c r="A10" s="2">
        <v>10.210000000000001</v>
      </c>
      <c r="B10" s="2">
        <v>70.680000000000007</v>
      </c>
    </row>
    <row r="11" spans="1:2" ht="13" customHeight="1">
      <c r="A11" s="2">
        <v>27.1</v>
      </c>
      <c r="B11" s="2">
        <v>77.59</v>
      </c>
    </row>
    <row r="12" spans="1:2" ht="13" customHeight="1">
      <c r="A12" s="2">
        <v>2.36</v>
      </c>
      <c r="B12" s="2">
        <v>41.71</v>
      </c>
    </row>
    <row r="13" spans="1:2" ht="13" customHeight="1">
      <c r="A13" s="2">
        <v>4.3899999999999997</v>
      </c>
      <c r="B13" s="2">
        <v>47.31</v>
      </c>
    </row>
    <row r="14" spans="1:2" ht="13" customHeight="1">
      <c r="A14" s="2">
        <v>7.82</v>
      </c>
      <c r="B14" s="2">
        <v>54.72</v>
      </c>
    </row>
    <row r="15" spans="1:2" ht="13" customHeight="1">
      <c r="A15" s="2">
        <v>2.74</v>
      </c>
      <c r="B15" s="2">
        <v>53.34</v>
      </c>
    </row>
    <row r="16" spans="1:2" ht="13" customHeight="1">
      <c r="A16" s="2">
        <v>7.08</v>
      </c>
      <c r="B16" s="2">
        <v>60.85</v>
      </c>
    </row>
    <row r="17" spans="1:2" ht="13" customHeight="1">
      <c r="A17" s="2">
        <v>18.329999999999998</v>
      </c>
      <c r="B17" s="2">
        <v>62.6</v>
      </c>
    </row>
    <row r="18" spans="1:2" ht="13" customHeight="1">
      <c r="A18" s="2">
        <v>13.8</v>
      </c>
      <c r="B18" s="2">
        <v>64.819999999999993</v>
      </c>
    </row>
    <row r="19" spans="1:2" ht="13" customHeight="1">
      <c r="A19" s="2">
        <v>26.99</v>
      </c>
      <c r="B19" s="2">
        <v>66.930000000000007</v>
      </c>
    </row>
    <row r="20" spans="1:2" ht="13" customHeight="1">
      <c r="A20" s="2">
        <v>24.89</v>
      </c>
      <c r="B20" s="2">
        <v>66.91</v>
      </c>
    </row>
    <row r="21" spans="1:2" ht="13" customHeight="1">
      <c r="A21" s="2">
        <v>11.57</v>
      </c>
      <c r="B21" s="2">
        <v>53.44</v>
      </c>
    </row>
    <row r="22" spans="1:2" ht="13" customHeight="1">
      <c r="A22" s="2">
        <v>9.26</v>
      </c>
      <c r="B22" s="2">
        <v>54.29</v>
      </c>
    </row>
    <row r="23" spans="1:2" ht="13" customHeight="1">
      <c r="A23" s="2">
        <v>12.63</v>
      </c>
      <c r="B23" s="2">
        <v>54.65</v>
      </c>
    </row>
    <row r="24" spans="1:2" ht="13" customHeight="1">
      <c r="A24" s="2">
        <v>18.53</v>
      </c>
      <c r="B24" s="2">
        <v>61.23</v>
      </c>
    </row>
    <row r="25" spans="1:2" ht="13" customHeight="1">
      <c r="A25" s="2">
        <v>9.51</v>
      </c>
      <c r="B25" s="2">
        <v>66.37</v>
      </c>
    </row>
    <row r="26" spans="1:2" ht="13" customHeight="1">
      <c r="A26" s="2">
        <v>19.48</v>
      </c>
      <c r="B26" s="2">
        <v>61.99</v>
      </c>
    </row>
    <row r="27" spans="1:2" ht="13" customHeight="1">
      <c r="A27" s="2">
        <v>13.46</v>
      </c>
      <c r="B27" s="2">
        <v>79.23</v>
      </c>
    </row>
    <row r="28" spans="1:2" ht="13" customHeight="1">
      <c r="A28" s="2">
        <v>17.46</v>
      </c>
      <c r="B28" s="2">
        <v>69.34</v>
      </c>
    </row>
    <row r="29" spans="1:2" ht="13" customHeight="1">
      <c r="A29" s="2">
        <v>14.21</v>
      </c>
      <c r="B29" s="2">
        <v>65.13</v>
      </c>
    </row>
    <row r="30" spans="1:2" ht="13" customHeight="1">
      <c r="A30" s="2">
        <v>10.25</v>
      </c>
      <c r="B30" s="2">
        <v>55.57</v>
      </c>
    </row>
    <row r="31" spans="1:2" ht="13" customHeight="1">
      <c r="A31" s="2">
        <v>28.56</v>
      </c>
      <c r="B31" s="2">
        <v>76.239999999999995</v>
      </c>
    </row>
    <row r="32" spans="1:2" ht="13" customHeight="1">
      <c r="A32" s="2">
        <v>23.38</v>
      </c>
      <c r="B32" s="2">
        <v>66.400000000000006</v>
      </c>
    </row>
    <row r="33" spans="1:2" ht="13" customHeight="1">
      <c r="A33" s="2">
        <v>5.92</v>
      </c>
      <c r="B33" s="2">
        <v>57.31</v>
      </c>
    </row>
    <row r="34" spans="1:2" ht="13" customHeight="1">
      <c r="A34" s="2">
        <v>26.32</v>
      </c>
      <c r="B34" s="2">
        <v>86.55</v>
      </c>
    </row>
    <row r="35" spans="1:2" ht="13" customHeight="1">
      <c r="A35" s="2">
        <v>15.65</v>
      </c>
      <c r="B35" s="2">
        <v>64.53</v>
      </c>
    </row>
    <row r="36" spans="1:2" ht="13" customHeight="1">
      <c r="A36" s="2">
        <v>27.05</v>
      </c>
      <c r="B36" s="2">
        <v>78.38</v>
      </c>
    </row>
    <row r="37" spans="1:2" ht="13" customHeight="1">
      <c r="A37" s="2">
        <v>24.4</v>
      </c>
      <c r="B37" s="2">
        <v>66.13</v>
      </c>
    </row>
    <row r="38" spans="1:2" ht="13" customHeight="1">
      <c r="A38" s="2">
        <v>13.91</v>
      </c>
      <c r="B38" s="2">
        <v>63.58</v>
      </c>
    </row>
    <row r="39" spans="1:2" ht="13" customHeight="1">
      <c r="A39" s="2">
        <v>2.63</v>
      </c>
      <c r="B39" s="2">
        <v>63.68</v>
      </c>
    </row>
    <row r="40" spans="1:2" ht="13" customHeight="1">
      <c r="A40" s="2">
        <v>9.52</v>
      </c>
      <c r="B40" s="2">
        <v>56.31</v>
      </c>
    </row>
    <row r="41" spans="1:2" ht="13" customHeight="1">
      <c r="A41" s="2">
        <v>17.170000000000002</v>
      </c>
      <c r="B41" s="2">
        <v>77.05</v>
      </c>
    </row>
    <row r="42" spans="1:2" ht="13" customHeight="1">
      <c r="A42" s="2">
        <v>19.739999999999998</v>
      </c>
      <c r="B42" s="2">
        <v>72.09</v>
      </c>
    </row>
    <row r="43" spans="1:2" ht="13" customHeight="1">
      <c r="A43" s="2">
        <v>9.2200000000000006</v>
      </c>
      <c r="B43" s="2">
        <v>56.41</v>
      </c>
    </row>
    <row r="44" spans="1:2" ht="13" customHeight="1">
      <c r="A44" s="2">
        <v>5.9</v>
      </c>
      <c r="B44" s="2">
        <v>60.35</v>
      </c>
    </row>
    <row r="45" spans="1:2" ht="13" customHeight="1">
      <c r="A45" s="2">
        <v>25.38</v>
      </c>
      <c r="B45" s="2">
        <v>76.63</v>
      </c>
    </row>
    <row r="46" spans="1:2" ht="13" customHeight="1">
      <c r="A46" s="2">
        <v>29.56</v>
      </c>
      <c r="B46" s="2">
        <v>76.099999999999994</v>
      </c>
    </row>
    <row r="47" spans="1:2" ht="13" customHeight="1">
      <c r="A47" s="2">
        <v>16.72</v>
      </c>
      <c r="B47" s="2">
        <v>56.45</v>
      </c>
    </row>
    <row r="48" spans="1:2" ht="13" customHeight="1">
      <c r="A48" s="2">
        <v>6.81</v>
      </c>
      <c r="B48" s="2">
        <v>53.11</v>
      </c>
    </row>
    <row r="49" spans="1:2" ht="13" customHeight="1">
      <c r="A49" s="2">
        <v>9.6199999999999992</v>
      </c>
      <c r="B49" s="2">
        <v>58.67</v>
      </c>
    </row>
    <row r="50" spans="1:2" ht="13" customHeight="1">
      <c r="A50" s="2">
        <v>2.5099999999999998</v>
      </c>
      <c r="B50" s="2">
        <v>52.48</v>
      </c>
    </row>
    <row r="51" spans="1:2" ht="13" customHeight="1">
      <c r="A51" s="2">
        <v>27.6</v>
      </c>
      <c r="B51" s="2">
        <v>75.42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1.海拔-气温</vt:lpstr>
      <vt:lpstr>2.冰淇淋-空调销量</vt:lpstr>
      <vt:lpstr>3.年龄-握力</vt:lpstr>
      <vt:lpstr>4.酒精浓度-反应时间</vt:lpstr>
      <vt:lpstr>5.身高-体重</vt:lpstr>
      <vt:lpstr>身高-体重分析</vt:lpstr>
      <vt:lpstr>6.鞋码-GPA</vt:lpstr>
      <vt:lpstr>7.计算机使用-学习效果</vt:lpstr>
      <vt:lpstr>8.学习时长-考试成绩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qin liu</cp:lastModifiedBy>
  <dcterms:modified xsi:type="dcterms:W3CDTF">2026-08-08T07:25:30Z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{"Label":"1","ContentProducer":"001191110102MACQD9K64010000","ProduceID":"7669794300284390331","ReservedCode1":"","ContentPropagator":"","PropagateID":"","ReservedCode2":""}</vt:lpwstr>
  </property>
</Properties>
</file>